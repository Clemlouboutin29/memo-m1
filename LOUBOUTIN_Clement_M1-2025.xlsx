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b74db6741135c1a/Documents/Formation/Cours STAPS/M1 EOPS 2025-2026/Semestre 2/(B3) Analyse statistique/Favier/"/>
    </mc:Choice>
  </mc:AlternateContent>
  <xr:revisionPtr revIDLastSave="1381" documentId="8_{C13A56CD-C791-4EA9-B0D8-02B8381123AC}" xr6:coauthVersionLast="47" xr6:coauthVersionMax="47" xr10:uidLastSave="{D4B4776C-160A-4A03-A3B8-E8FC3B347AD3}"/>
  <bookViews>
    <workbookView xWindow="-108" yWindow="-108" windowWidth="23256" windowHeight="12456" activeTab="2" xr2:uid="{F70138D0-683B-43F6-A46F-1BF83519ACD3}"/>
  </bookViews>
  <sheets>
    <sheet name="Présentation générale" sheetId="1" r:id="rId1"/>
    <sheet name="Right Curved Sprint" sheetId="2" r:id="rId2"/>
    <sheet name="Feuil1" sheetId="5" r:id="rId3"/>
    <sheet name="Left Curved Sprint" sheetId="3" r:id="rId4"/>
    <sheet name="Conclusion générale"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2" l="1"/>
  <c r="C39" i="2"/>
  <c r="N25" i="1"/>
  <c r="N24" i="1"/>
  <c r="G25" i="1"/>
  <c r="G24" i="1"/>
  <c r="K25" i="1"/>
  <c r="K24" i="1"/>
  <c r="D25" i="1"/>
  <c r="D24" i="1"/>
  <c r="J36" i="3"/>
  <c r="J35" i="3"/>
  <c r="I36" i="3"/>
  <c r="I35" i="3"/>
  <c r="H36" i="3"/>
  <c r="H35" i="3"/>
  <c r="D36" i="3"/>
  <c r="D35" i="3"/>
  <c r="C36" i="3"/>
  <c r="C35" i="3"/>
  <c r="B36" i="3"/>
  <c r="B35" i="3"/>
  <c r="E31" i="3"/>
  <c r="E30" i="3"/>
  <c r="E29" i="3"/>
  <c r="E28" i="3"/>
  <c r="E27" i="3"/>
  <c r="E26" i="3"/>
  <c r="E25" i="3"/>
  <c r="E24" i="3"/>
  <c r="E23" i="3"/>
  <c r="E22" i="3"/>
  <c r="E21" i="3"/>
  <c r="E20" i="3"/>
  <c r="E19" i="3"/>
  <c r="E18" i="3"/>
  <c r="E17" i="3"/>
  <c r="E16" i="3"/>
  <c r="E15" i="3"/>
  <c r="E14" i="3"/>
  <c r="E13" i="3"/>
  <c r="E12" i="3"/>
  <c r="E11" i="3"/>
  <c r="E10" i="3"/>
  <c r="F31" i="3"/>
  <c r="F30" i="3"/>
  <c r="F29" i="3"/>
  <c r="F28" i="3"/>
  <c r="F27" i="3"/>
  <c r="F26" i="3"/>
  <c r="F25" i="3"/>
  <c r="F24" i="3"/>
  <c r="F23" i="3"/>
  <c r="F22" i="3"/>
  <c r="K35" i="3" s="1"/>
  <c r="F21" i="3"/>
  <c r="F20" i="3"/>
  <c r="F19" i="3"/>
  <c r="F18" i="3"/>
  <c r="F17" i="3"/>
  <c r="F16" i="3"/>
  <c r="F15" i="3"/>
  <c r="F14" i="3"/>
  <c r="E35" i="3" s="1"/>
  <c r="F13" i="3"/>
  <c r="F12" i="3"/>
  <c r="F11" i="3"/>
  <c r="F10" i="3"/>
  <c r="J36" i="2"/>
  <c r="J35" i="2"/>
  <c r="D36" i="2"/>
  <c r="D35" i="2"/>
  <c r="I36" i="2"/>
  <c r="I35" i="2"/>
  <c r="H36" i="2"/>
  <c r="H35" i="2"/>
  <c r="C36" i="2"/>
  <c r="C35" i="2"/>
  <c r="B36" i="2"/>
  <c r="B35" i="2"/>
  <c r="F21" i="2"/>
  <c r="F22" i="2"/>
  <c r="F23" i="2"/>
  <c r="F24" i="2"/>
  <c r="F25" i="2"/>
  <c r="F26" i="2"/>
  <c r="F27" i="2"/>
  <c r="F28" i="2"/>
  <c r="F29" i="2"/>
  <c r="F30" i="2"/>
  <c r="F31" i="2"/>
  <c r="F11" i="2"/>
  <c r="F12" i="2"/>
  <c r="F13" i="2"/>
  <c r="F14" i="2"/>
  <c r="F15" i="2"/>
  <c r="F16" i="2"/>
  <c r="F17" i="2"/>
  <c r="F18" i="2"/>
  <c r="F19" i="2"/>
  <c r="F20" i="2"/>
  <c r="F10" i="2"/>
  <c r="N22" i="1"/>
  <c r="N23" i="1"/>
  <c r="N12" i="1"/>
  <c r="N13" i="1"/>
  <c r="N14" i="1"/>
  <c r="N15" i="1"/>
  <c r="N16" i="1"/>
  <c r="N17" i="1"/>
  <c r="N18" i="1"/>
  <c r="N19" i="1"/>
  <c r="N20" i="1"/>
  <c r="N21" i="1"/>
  <c r="N11" i="1"/>
  <c r="M23" i="1"/>
  <c r="M22" i="1"/>
  <c r="K12" i="1"/>
  <c r="K13" i="1"/>
  <c r="K14" i="1"/>
  <c r="K15" i="1"/>
  <c r="K16" i="1"/>
  <c r="K17" i="1"/>
  <c r="K18" i="1"/>
  <c r="K19" i="1"/>
  <c r="K20" i="1"/>
  <c r="K21" i="1"/>
  <c r="K11" i="1"/>
  <c r="K22" i="1" s="1"/>
  <c r="J23" i="1"/>
  <c r="J22" i="1"/>
  <c r="G12" i="1"/>
  <c r="G13" i="1"/>
  <c r="G14" i="1"/>
  <c r="G15" i="1"/>
  <c r="G16" i="1"/>
  <c r="G17" i="1"/>
  <c r="G18" i="1"/>
  <c r="G19" i="1"/>
  <c r="G20" i="1"/>
  <c r="G21" i="1"/>
  <c r="G11" i="1"/>
  <c r="D12" i="1"/>
  <c r="D13" i="1"/>
  <c r="D14" i="1"/>
  <c r="D15" i="1"/>
  <c r="D16" i="1"/>
  <c r="D17" i="1"/>
  <c r="D18" i="1"/>
  <c r="D19" i="1"/>
  <c r="D20" i="1"/>
  <c r="D21" i="1"/>
  <c r="D11" i="1"/>
  <c r="F23" i="1"/>
  <c r="F22" i="1"/>
  <c r="C23" i="1"/>
  <c r="C22" i="1"/>
  <c r="L23" i="1"/>
  <c r="I23" i="1"/>
  <c r="E23" i="1"/>
  <c r="B23" i="1"/>
  <c r="L22" i="1"/>
  <c r="I22" i="1"/>
  <c r="E22" i="1"/>
  <c r="B22" i="1"/>
  <c r="K36" i="2" l="1"/>
  <c r="K35" i="2"/>
  <c r="E36" i="3"/>
  <c r="K36" i="3"/>
  <c r="E36" i="2"/>
  <c r="E35" i="2"/>
  <c r="D22" i="1"/>
  <c r="K23" i="1"/>
  <c r="G22" i="1"/>
  <c r="D23" i="1"/>
  <c r="G23" i="1"/>
</calcChain>
</file>

<file path=xl/sharedStrings.xml><?xml version="1.0" encoding="utf-8"?>
<sst xmlns="http://schemas.openxmlformats.org/spreadsheetml/2006/main" count="273" uniqueCount="47">
  <si>
    <t>CRTL</t>
  </si>
  <si>
    <t>Avant</t>
  </si>
  <si>
    <t>Après</t>
  </si>
  <si>
    <t>CORE</t>
  </si>
  <si>
    <t>Moyenne</t>
  </si>
  <si>
    <t>Ecart-type</t>
  </si>
  <si>
    <t>Right Curved Sprint sur 17,5m (s)</t>
  </si>
  <si>
    <t>Left Curved Sprint  sur 17,5m (s)</t>
  </si>
  <si>
    <t>▲</t>
  </si>
  <si>
    <t>NOM</t>
  </si>
  <si>
    <t>A</t>
  </si>
  <si>
    <t>B</t>
  </si>
  <si>
    <t>C</t>
  </si>
  <si>
    <t>D</t>
  </si>
  <si>
    <t>E</t>
  </si>
  <si>
    <t>F</t>
  </si>
  <si>
    <t>G</t>
  </si>
  <si>
    <t>H</t>
  </si>
  <si>
    <t>I</t>
  </si>
  <si>
    <t>J</t>
  </si>
  <si>
    <t>K</t>
  </si>
  <si>
    <t>Groupe</t>
  </si>
  <si>
    <t>L</t>
  </si>
  <si>
    <t>M</t>
  </si>
  <si>
    <t>N</t>
  </si>
  <si>
    <t>O</t>
  </si>
  <si>
    <t>P</t>
  </si>
  <si>
    <t>Q</t>
  </si>
  <si>
    <t>R</t>
  </si>
  <si>
    <t>S</t>
  </si>
  <si>
    <t>T</t>
  </si>
  <si>
    <t>U</t>
  </si>
  <si>
    <t>V</t>
  </si>
  <si>
    <t>Pré</t>
  </si>
  <si>
    <t>Post</t>
  </si>
  <si>
    <t>Diff Sprint</t>
  </si>
  <si>
    <t>%</t>
  </si>
  <si>
    <t>Kurtosis</t>
  </si>
  <si>
    <t>Skewness</t>
  </si>
  <si>
    <t>▲ Core</t>
  </si>
  <si>
    <t>▲ CRTL</t>
  </si>
  <si>
    <t>X</t>
  </si>
  <si>
    <t>SWC</t>
  </si>
  <si>
    <t>Voir si démarche SWC est bonne</t>
  </si>
  <si>
    <t>▲ Moyenne</t>
  </si>
  <si>
    <t>Right curved sprint</t>
  </si>
  <si>
    <t>Left curved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</si>
</sst>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i/>
      <sz val="11"/>
      <color theme="1"/>
      <name val="Aptos Narrow"/>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1"/>
        <bgColor indexed="64"/>
      </patternFill>
    </fill>
  </fills>
  <borders count="3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s>
  <cellStyleXfs count="1">
    <xf numFmtId="0" fontId="0" fillId="0" borderId="0"/>
  </cellStyleXfs>
  <cellXfs count="91">
    <xf numFmtId="0" fontId="0" fillId="0" borderId="0" xfId="0"/>
    <xf numFmtId="164" fontId="0" fillId="0" borderId="3" xfId="0" applyNumberFormat="1" applyBorder="1" applyAlignment="1">
      <alignment horizontal="center"/>
    </xf>
    <xf numFmtId="164" fontId="0" fillId="0" borderId="4" xfId="0" applyNumberFormat="1" applyBorder="1" applyAlignment="1">
      <alignment horizontal="center"/>
    </xf>
    <xf numFmtId="164" fontId="0" fillId="0" borderId="6" xfId="0" applyNumberFormat="1" applyBorder="1" applyAlignment="1">
      <alignment horizontal="center"/>
    </xf>
    <xf numFmtId="164" fontId="0" fillId="0" borderId="5"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64" fontId="0" fillId="0" borderId="1" xfId="0" applyNumberFormat="1" applyBorder="1" applyAlignment="1">
      <alignment horizontal="center"/>
    </xf>
    <xf numFmtId="164" fontId="0" fillId="0" borderId="2" xfId="0" applyNumberFormat="1" applyBorder="1" applyAlignment="1">
      <alignment horizontal="center"/>
    </xf>
    <xf numFmtId="164" fontId="0" fillId="0" borderId="11" xfId="0" applyNumberFormat="1" applyBorder="1" applyAlignment="1">
      <alignment horizontal="center"/>
    </xf>
    <xf numFmtId="164" fontId="0" fillId="0" borderId="14" xfId="0" applyNumberFormat="1" applyBorder="1" applyAlignment="1">
      <alignment horizontal="center"/>
    </xf>
    <xf numFmtId="164" fontId="0" fillId="0" borderId="16" xfId="0" applyNumberFormat="1" applyBorder="1" applyAlignment="1">
      <alignment horizontal="center"/>
    </xf>
    <xf numFmtId="164" fontId="0" fillId="0" borderId="17" xfId="0" applyNumberFormat="1" applyBorder="1" applyAlignment="1">
      <alignment horizontal="center"/>
    </xf>
    <xf numFmtId="0" fontId="0" fillId="0" borderId="19" xfId="0" applyBorder="1" applyAlignment="1">
      <alignment horizontal="center"/>
    </xf>
    <xf numFmtId="164" fontId="0" fillId="0" borderId="20" xfId="0" applyNumberFormat="1" applyBorder="1" applyAlignment="1">
      <alignment horizontal="center"/>
    </xf>
    <xf numFmtId="164" fontId="0" fillId="0" borderId="21" xfId="0" applyNumberFormat="1" applyBorder="1" applyAlignment="1">
      <alignment horizontal="center"/>
    </xf>
    <xf numFmtId="164" fontId="0" fillId="0" borderId="19" xfId="0" applyNumberForma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164" fontId="0" fillId="0" borderId="25" xfId="0" applyNumberFormat="1" applyBorder="1" applyAlignment="1">
      <alignment horizontal="center"/>
    </xf>
    <xf numFmtId="164" fontId="0" fillId="0" borderId="22" xfId="0" applyNumberFormat="1" applyBorder="1" applyAlignment="1">
      <alignment horizontal="center"/>
    </xf>
    <xf numFmtId="164" fontId="0" fillId="0" borderId="26" xfId="0" applyNumberFormat="1" applyBorder="1" applyAlignment="1">
      <alignment horizontal="center"/>
    </xf>
    <xf numFmtId="164" fontId="0" fillId="0" borderId="23" xfId="0" applyNumberFormat="1" applyBorder="1" applyAlignment="1">
      <alignment horizontal="center"/>
    </xf>
    <xf numFmtId="164" fontId="0" fillId="0" borderId="24" xfId="0" applyNumberFormat="1" applyBorder="1" applyAlignment="1">
      <alignment horizontal="center"/>
    </xf>
    <xf numFmtId="0" fontId="0" fillId="0" borderId="1" xfId="0" applyBorder="1" applyAlignment="1">
      <alignment horizontal="center"/>
    </xf>
    <xf numFmtId="0" fontId="0" fillId="2" borderId="27" xfId="0" applyFill="1" applyBorder="1" applyAlignment="1">
      <alignment horizontal="center"/>
    </xf>
    <xf numFmtId="164" fontId="0" fillId="2" borderId="1" xfId="0" applyNumberFormat="1" applyFill="1" applyBorder="1" applyAlignment="1">
      <alignment horizontal="center"/>
    </xf>
    <xf numFmtId="164" fontId="0" fillId="2" borderId="17" xfId="0" applyNumberFormat="1" applyFill="1" applyBorder="1" applyAlignment="1">
      <alignment horizontal="center"/>
    </xf>
    <xf numFmtId="164" fontId="0" fillId="2" borderId="2" xfId="0" applyNumberFormat="1" applyFill="1" applyBorder="1" applyAlignment="1">
      <alignment horizontal="center"/>
    </xf>
    <xf numFmtId="164" fontId="0" fillId="2" borderId="15" xfId="0" applyNumberFormat="1" applyFill="1" applyBorder="1" applyAlignment="1">
      <alignment horizontal="center"/>
    </xf>
    <xf numFmtId="0" fontId="0" fillId="2" borderId="28" xfId="0" applyFill="1" applyBorder="1" applyAlignment="1">
      <alignment horizontal="center"/>
    </xf>
    <xf numFmtId="164" fontId="0" fillId="2" borderId="5" xfId="0" applyNumberFormat="1" applyFill="1" applyBorder="1" applyAlignment="1">
      <alignment horizontal="center"/>
    </xf>
    <xf numFmtId="164" fontId="0" fillId="2" borderId="16" xfId="0" applyNumberFormat="1" applyFill="1" applyBorder="1" applyAlignment="1">
      <alignment horizontal="center"/>
    </xf>
    <xf numFmtId="164" fontId="0" fillId="2" borderId="6" xfId="0" applyNumberFormat="1" applyFill="1" applyBorder="1" applyAlignment="1">
      <alignment horizontal="center"/>
    </xf>
    <xf numFmtId="164" fontId="0" fillId="2" borderId="13" xfId="0" applyNumberFormat="1" applyFill="1" applyBorder="1" applyAlignment="1">
      <alignment horizontal="center"/>
    </xf>
    <xf numFmtId="0" fontId="0" fillId="0" borderId="0" xfId="0" applyAlignment="1">
      <alignment horizontal="center"/>
    </xf>
    <xf numFmtId="0" fontId="1" fillId="0" borderId="29" xfId="0" applyFont="1" applyBorder="1" applyAlignment="1">
      <alignment horizontal="center"/>
    </xf>
    <xf numFmtId="0" fontId="1" fillId="0" borderId="20" xfId="0" applyFont="1" applyBorder="1" applyAlignment="1">
      <alignment horizontal="center"/>
    </xf>
    <xf numFmtId="0" fontId="1" fillId="0" borderId="18" xfId="0" applyFont="1" applyBorder="1" applyAlignment="1">
      <alignment horizontal="center"/>
    </xf>
    <xf numFmtId="0" fontId="0" fillId="4" borderId="11" xfId="0" applyFill="1" applyBorder="1" applyAlignment="1">
      <alignment horizontal="center"/>
    </xf>
    <xf numFmtId="0" fontId="0" fillId="3" borderId="11" xfId="0" applyFill="1" applyBorder="1" applyAlignment="1">
      <alignment horizontal="center"/>
    </xf>
    <xf numFmtId="0" fontId="0" fillId="4" borderId="17" xfId="0" applyFill="1" applyBorder="1" applyAlignment="1">
      <alignment horizontal="center"/>
    </xf>
    <xf numFmtId="0" fontId="0" fillId="0" borderId="3" xfId="0" applyBorder="1" applyAlignment="1">
      <alignment horizontal="center"/>
    </xf>
    <xf numFmtId="0" fontId="0" fillId="3" borderId="16" xfId="0" applyFill="1" applyBorder="1" applyAlignment="1">
      <alignment horizontal="center"/>
    </xf>
    <xf numFmtId="0" fontId="0" fillId="4" borderId="16" xfId="0" applyFill="1" applyBorder="1" applyAlignment="1">
      <alignment horizontal="center"/>
    </xf>
    <xf numFmtId="2" fontId="0" fillId="0" borderId="2" xfId="0" applyNumberFormat="1" applyBorder="1" applyAlignment="1">
      <alignment horizontal="center"/>
    </xf>
    <xf numFmtId="2" fontId="0" fillId="0" borderId="4" xfId="0" applyNumberFormat="1" applyBorder="1" applyAlignment="1">
      <alignment horizontal="center"/>
    </xf>
    <xf numFmtId="2" fontId="0" fillId="0" borderId="6" xfId="0" applyNumberFormat="1" applyBorder="1" applyAlignment="1">
      <alignment horizontal="center"/>
    </xf>
    <xf numFmtId="0" fontId="0" fillId="3" borderId="17" xfId="0" applyFill="1" applyBorder="1" applyAlignment="1">
      <alignment horizontal="center"/>
    </xf>
    <xf numFmtId="0" fontId="0" fillId="2" borderId="30" xfId="0" applyFill="1" applyBorder="1" applyAlignment="1">
      <alignment horizontal="center"/>
    </xf>
    <xf numFmtId="0" fontId="0" fillId="2" borderId="31" xfId="0" applyFill="1" applyBorder="1" applyAlignment="1">
      <alignment horizontal="center"/>
    </xf>
    <xf numFmtId="2" fontId="0" fillId="0" borderId="32" xfId="0" applyNumberFormat="1" applyBorder="1" applyAlignment="1">
      <alignment horizontal="center"/>
    </xf>
    <xf numFmtId="2" fontId="0" fillId="0" borderId="10" xfId="0" applyNumberFormat="1" applyBorder="1" applyAlignment="1">
      <alignment horizontal="center"/>
    </xf>
    <xf numFmtId="2" fontId="0" fillId="0" borderId="33" xfId="0" applyNumberFormat="1" applyBorder="1" applyAlignment="1">
      <alignment horizontal="center"/>
    </xf>
    <xf numFmtId="0" fontId="0" fillId="2" borderId="34" xfId="0" applyFill="1" applyBorder="1" applyAlignment="1">
      <alignment horizontal="center"/>
    </xf>
    <xf numFmtId="164" fontId="0" fillId="0" borderId="36" xfId="0" applyNumberFormat="1" applyBorder="1" applyAlignment="1">
      <alignment horizontal="center"/>
    </xf>
    <xf numFmtId="0" fontId="0" fillId="8" borderId="29" xfId="0" applyFill="1" applyBorder="1"/>
    <xf numFmtId="0" fontId="0" fillId="8" borderId="20" xfId="0" applyFill="1" applyBorder="1"/>
    <xf numFmtId="0" fontId="0" fillId="8" borderId="28" xfId="0" applyFill="1" applyBorder="1"/>
    <xf numFmtId="0" fontId="0" fillId="8" borderId="35" xfId="0" applyFill="1" applyBorder="1"/>
    <xf numFmtId="2" fontId="0" fillId="0" borderId="0" xfId="0" applyNumberFormat="1" applyAlignment="1">
      <alignment horizontal="center"/>
    </xf>
    <xf numFmtId="0" fontId="0" fillId="0" borderId="17" xfId="0" applyBorder="1" applyAlignment="1">
      <alignment horizontal="center"/>
    </xf>
    <xf numFmtId="0" fontId="1" fillId="0" borderId="11" xfId="0" applyFont="1" applyBorder="1" applyAlignment="1">
      <alignment horizontal="center"/>
    </xf>
    <xf numFmtId="0" fontId="0" fillId="0" borderId="11" xfId="0" applyBorder="1" applyAlignment="1">
      <alignment horizontal="center"/>
    </xf>
    <xf numFmtId="0" fontId="1" fillId="0" borderId="0" xfId="0" applyFont="1" applyAlignment="1">
      <alignment horizontal="center"/>
    </xf>
    <xf numFmtId="0" fontId="1" fillId="4" borderId="1" xfId="0" applyFont="1" applyFill="1" applyBorder="1" applyAlignment="1">
      <alignment horizontal="center"/>
    </xf>
    <xf numFmtId="0" fontId="1" fillId="4" borderId="12" xfId="0" applyFont="1" applyFill="1" applyBorder="1" applyAlignment="1">
      <alignment horizontal="center"/>
    </xf>
    <xf numFmtId="0" fontId="1" fillId="4" borderId="2" xfId="0" applyFont="1" applyFill="1" applyBorder="1" applyAlignment="1">
      <alignment horizontal="center"/>
    </xf>
    <xf numFmtId="0" fontId="1" fillId="3" borderId="1" xfId="0" applyFont="1" applyFill="1" applyBorder="1" applyAlignment="1">
      <alignment horizontal="center"/>
    </xf>
    <xf numFmtId="0" fontId="1" fillId="3" borderId="12" xfId="0" applyFont="1" applyFill="1" applyBorder="1" applyAlignment="1">
      <alignment horizontal="center"/>
    </xf>
    <xf numFmtId="0" fontId="1" fillId="3" borderId="2" xfId="0" applyFont="1" applyFill="1" applyBorder="1" applyAlignment="1">
      <alignment horizontal="center"/>
    </xf>
    <xf numFmtId="0" fontId="2" fillId="5" borderId="7"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7" borderId="7" xfId="0" applyFont="1" applyFill="1" applyBorder="1" applyAlignment="1">
      <alignment horizontal="center"/>
    </xf>
    <xf numFmtId="0" fontId="2" fillId="7" borderId="8" xfId="0" applyFont="1" applyFill="1" applyBorder="1" applyAlignment="1">
      <alignment horizontal="center"/>
    </xf>
    <xf numFmtId="0" fontId="2" fillId="7" borderId="9" xfId="0" applyFont="1" applyFill="1" applyBorder="1" applyAlignment="1">
      <alignment horizontal="center"/>
    </xf>
    <xf numFmtId="0" fontId="1" fillId="4" borderId="27" xfId="0" applyFont="1" applyFill="1" applyBorder="1" applyAlignment="1">
      <alignment horizontal="center"/>
    </xf>
    <xf numFmtId="0" fontId="1" fillId="4" borderId="32" xfId="0" applyFont="1" applyFill="1" applyBorder="1" applyAlignment="1">
      <alignment horizontal="center"/>
    </xf>
    <xf numFmtId="0" fontId="1" fillId="3" borderId="27" xfId="0" applyFont="1" applyFill="1" applyBorder="1" applyAlignment="1">
      <alignment horizontal="center"/>
    </xf>
    <xf numFmtId="0" fontId="1" fillId="3" borderId="32" xfId="0" applyFont="1" applyFill="1" applyBorder="1" applyAlignment="1">
      <alignment horizontal="center"/>
    </xf>
    <xf numFmtId="0" fontId="3" fillId="6" borderId="7" xfId="0" applyFont="1" applyFill="1" applyBorder="1" applyAlignment="1">
      <alignment horizontal="center"/>
    </xf>
    <xf numFmtId="0" fontId="3" fillId="6" borderId="8" xfId="0" applyFont="1" applyFill="1" applyBorder="1" applyAlignment="1">
      <alignment horizontal="center"/>
    </xf>
    <xf numFmtId="0" fontId="3" fillId="6" borderId="9" xfId="0" applyFont="1" applyFill="1" applyBorder="1" applyAlignment="1">
      <alignment horizontal="center"/>
    </xf>
    <xf numFmtId="0" fontId="3" fillId="5" borderId="7" xfId="0" applyFont="1" applyFill="1" applyBorder="1" applyAlignment="1">
      <alignment horizontal="center"/>
    </xf>
    <xf numFmtId="0" fontId="3" fillId="5" borderId="8" xfId="0" applyFont="1" applyFill="1" applyBorder="1" applyAlignment="1">
      <alignment horizontal="center"/>
    </xf>
    <xf numFmtId="0" fontId="3" fillId="5" borderId="9" xfId="0" applyFont="1" applyFill="1" applyBorder="1" applyAlignment="1">
      <alignment horizontal="center"/>
    </xf>
    <xf numFmtId="0" fontId="0" fillId="6" borderId="11" xfId="0" applyFill="1" applyBorder="1" applyAlignment="1">
      <alignment horizontal="center"/>
    </xf>
    <xf numFmtId="0" fontId="4" fillId="0" borderId="21" xfId="0" applyFont="1" applyBorder="1" applyAlignment="1">
      <alignment horizontal="center"/>
    </xf>
    <xf numFmtId="0" fontId="4" fillId="0" borderId="3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i="1"/>
              <a:t>Moyenne et écart-type</a:t>
            </a:r>
            <a:r>
              <a:rPr lang="en-US" sz="1200" b="1" i="1" baseline="0"/>
              <a:t> </a:t>
            </a:r>
            <a:r>
              <a:rPr lang="en-US" sz="1200" b="1" i="1"/>
              <a:t>des variations de temps de sprint entre les groupes Core et Crtl </a:t>
            </a:r>
          </a:p>
        </c:rich>
      </c:tx>
      <c:layout>
        <c:manualLayout>
          <c:xMode val="edge"/>
          <c:yMode val="edge"/>
          <c:x val="0.1366886383807675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fr-FR"/>
        </a:p>
      </c:txPr>
    </c:title>
    <c:autoTitleDeleted val="0"/>
    <c:plotArea>
      <c:layout>
        <c:manualLayout>
          <c:layoutTarget val="inner"/>
          <c:xMode val="edge"/>
          <c:yMode val="edge"/>
          <c:x val="0.17569532617003669"/>
          <c:y val="0.3434145913905044"/>
          <c:w val="0.78582363627870455"/>
          <c:h val="0.61898148148148135"/>
        </c:manualLayout>
      </c:layout>
      <c:barChart>
        <c:barDir val="col"/>
        <c:grouping val="clustered"/>
        <c:varyColors val="0"/>
        <c:ser>
          <c:idx val="0"/>
          <c:order val="0"/>
          <c:tx>
            <c:strRef>
              <c:f>'Right Curved Sprint'!$L$44</c:f>
              <c:strCache>
                <c:ptCount val="1"/>
                <c:pt idx="0">
                  <c:v>Moyenne</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E20E-46F0-9823-FEE9093C2DD8}"/>
              </c:ext>
            </c:extLst>
          </c:dPt>
          <c:dPt>
            <c:idx val="1"/>
            <c:invertIfNegative val="0"/>
            <c:bubble3D val="0"/>
            <c:spPr>
              <a:solidFill>
                <a:srgbClr val="FFC000"/>
              </a:solidFill>
              <a:ln>
                <a:noFill/>
              </a:ln>
              <a:effectLst/>
            </c:spPr>
            <c:extLst>
              <c:ext xmlns:c16="http://schemas.microsoft.com/office/drawing/2014/chart" uri="{C3380CC4-5D6E-409C-BE32-E72D297353CC}">
                <c16:uniqueId val="{00000002-E20E-46F0-9823-FEE9093C2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plus"/>
            <c:errValType val="cust"/>
            <c:noEndCap val="0"/>
            <c:plus>
              <c:numRef>
                <c:f>'Right Curved Sprint'!$M$45:$N$45</c:f>
                <c:numCache>
                  <c:formatCode>General</c:formatCode>
                  <c:ptCount val="2"/>
                  <c:pt idx="0">
                    <c:v>-6.6000000000000003E-2</c:v>
                  </c:pt>
                  <c:pt idx="1">
                    <c:v>-6.7000000000000004E-2</c:v>
                  </c:pt>
                </c:numCache>
              </c:numRef>
            </c:plus>
            <c:minus>
              <c:numRef>
                <c:f>'Right Curved Sprint'!$M$45:$N$45</c:f>
                <c:numCache>
                  <c:formatCode>General</c:formatCode>
                  <c:ptCount val="2"/>
                  <c:pt idx="0">
                    <c:v>-6.6000000000000003E-2</c:v>
                  </c:pt>
                  <c:pt idx="1">
                    <c:v>-6.7000000000000004E-2</c:v>
                  </c:pt>
                </c:numCache>
              </c:numRef>
            </c:minus>
            <c:spPr>
              <a:noFill/>
              <a:ln w="9525" cap="flat" cmpd="sng" algn="ctr">
                <a:solidFill>
                  <a:schemeClr val="tx1">
                    <a:lumMod val="65000"/>
                    <a:lumOff val="35000"/>
                  </a:schemeClr>
                </a:solidFill>
                <a:round/>
              </a:ln>
              <a:effectLst/>
            </c:spPr>
          </c:errBars>
          <c:cat>
            <c:strRef>
              <c:f>'Right Curved Sprint'!$M$43:$N$43</c:f>
              <c:strCache>
                <c:ptCount val="2"/>
                <c:pt idx="0">
                  <c:v>▲ Core</c:v>
                </c:pt>
                <c:pt idx="1">
                  <c:v>▲ CRTL</c:v>
                </c:pt>
              </c:strCache>
            </c:strRef>
          </c:cat>
          <c:val>
            <c:numRef>
              <c:f>'Right Curved Sprint'!$M$44:$N$44</c:f>
              <c:numCache>
                <c:formatCode>General</c:formatCode>
                <c:ptCount val="2"/>
                <c:pt idx="0">
                  <c:v>-8.2000000000000003E-2</c:v>
                </c:pt>
                <c:pt idx="1">
                  <c:v>-3.0000000000000001E-3</c:v>
                </c:pt>
              </c:numCache>
            </c:numRef>
          </c:val>
          <c:extLst>
            <c:ext xmlns:c16="http://schemas.microsoft.com/office/drawing/2014/chart" uri="{C3380CC4-5D6E-409C-BE32-E72D297353CC}">
              <c16:uniqueId val="{00000000-E20E-46F0-9823-FEE9093C2DD8}"/>
            </c:ext>
          </c:extLst>
        </c:ser>
        <c:dLbls>
          <c:dLblPos val="ctr"/>
          <c:showLegendKey val="0"/>
          <c:showVal val="1"/>
          <c:showCatName val="0"/>
          <c:showSerName val="0"/>
          <c:showPercent val="0"/>
          <c:showBubbleSize val="0"/>
        </c:dLbls>
        <c:gapWidth val="219"/>
        <c:overlap val="-27"/>
        <c:axId val="753764568"/>
        <c:axId val="753762048"/>
      </c:barChart>
      <c:catAx>
        <c:axId val="753764568"/>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753762048"/>
        <c:crosses val="max"/>
        <c:auto val="1"/>
        <c:lblAlgn val="ctr"/>
        <c:lblOffset val="100"/>
        <c:noMultiLvlLbl val="0"/>
      </c:catAx>
      <c:valAx>
        <c:axId val="753762048"/>
        <c:scaling>
          <c:orientation val="minMax"/>
          <c:max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fr-FR"/>
                  <a:t>Temps</a:t>
                </a:r>
                <a:r>
                  <a:rPr lang="fr-FR" baseline="0"/>
                  <a:t> (s)</a:t>
                </a:r>
                <a:endParaRPr lang="fr-FR"/>
              </a:p>
            </c:rich>
          </c:tx>
          <c:layout>
            <c:manualLayout>
              <c:xMode val="edge"/>
              <c:yMode val="edge"/>
              <c:x val="1.3888914262747319E-2"/>
              <c:y val="0.555346847426055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753764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t>Valeurs individuelles et moyenne des variations de temps de sprint dans les groupes Core et Crtl</a:t>
            </a:r>
          </a:p>
        </c:rich>
      </c:tx>
      <c:layout>
        <c:manualLayout>
          <c:xMode val="edge"/>
          <c:yMode val="edge"/>
          <c:x val="0.15598687342531364"/>
          <c:y val="3.43982340434176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fr-FR"/>
        </a:p>
      </c:txPr>
    </c:title>
    <c:autoTitleDeleted val="0"/>
    <c:plotArea>
      <c:layout>
        <c:manualLayout>
          <c:layoutTarget val="inner"/>
          <c:xMode val="edge"/>
          <c:yMode val="edge"/>
          <c:x val="0.16720515941869807"/>
          <c:y val="0.207890220298868"/>
          <c:w val="0.80033033076225368"/>
          <c:h val="0.66009433863666489"/>
        </c:manualLayout>
      </c:layout>
      <c:scatterChart>
        <c:scatterStyle val="lineMarker"/>
        <c:varyColors val="0"/>
        <c:ser>
          <c:idx val="0"/>
          <c:order val="0"/>
          <c:tx>
            <c:strRef>
              <c:f>'Right Curved Sprint'!$X$48</c:f>
              <c:strCache>
                <c:ptCount val="1"/>
                <c:pt idx="0">
                  <c:v>Diff Sprint</c:v>
                </c:pt>
              </c:strCache>
            </c:strRef>
          </c:tx>
          <c:spPr>
            <a:ln w="38100" cap="rnd">
              <a:noFill/>
              <a:round/>
            </a:ln>
            <a:effectLst/>
          </c:spPr>
          <c:marker>
            <c:symbol val="circle"/>
            <c:size val="5"/>
            <c:spPr>
              <a:solidFill>
                <a:schemeClr val="accent1"/>
              </a:solidFill>
              <a:ln w="9525">
                <a:solidFill>
                  <a:schemeClr val="accent1"/>
                </a:solidFill>
              </a:ln>
              <a:effectLst/>
            </c:spPr>
          </c:marker>
          <c:xVal>
            <c:numRef>
              <c:f>'Right Curved Sprint'!$W$49:$W$70</c:f>
              <c:numCache>
                <c:formatCode>General</c:formatCode>
                <c:ptCount val="22"/>
                <c:pt idx="0">
                  <c:v>1.1206717001637714</c:v>
                </c:pt>
                <c:pt idx="1">
                  <c:v>1.0104020732617689</c:v>
                </c:pt>
                <c:pt idx="2">
                  <c:v>1.0180231391850061</c:v>
                </c:pt>
                <c:pt idx="3">
                  <c:v>1.1094570995730813</c:v>
                </c:pt>
                <c:pt idx="4">
                  <c:v>1.0394426583980116</c:v>
                </c:pt>
                <c:pt idx="5">
                  <c:v>0.97966863861402387</c:v>
                </c:pt>
                <c:pt idx="6">
                  <c:v>1.1304211619736217</c:v>
                </c:pt>
                <c:pt idx="7">
                  <c:v>0.87630030153120364</c:v>
                </c:pt>
                <c:pt idx="8">
                  <c:v>1.090004964151257</c:v>
                </c:pt>
                <c:pt idx="9">
                  <c:v>0.99627342205533564</c:v>
                </c:pt>
                <c:pt idx="10">
                  <c:v>1.0603943804503304</c:v>
                </c:pt>
                <c:pt idx="11">
                  <c:v>1.9952019194327337</c:v>
                </c:pt>
                <c:pt idx="12">
                  <c:v>2.0658595105349522</c:v>
                </c:pt>
                <c:pt idx="13">
                  <c:v>2.01191496332298</c:v>
                </c:pt>
                <c:pt idx="14">
                  <c:v>1.985108848739811</c:v>
                </c:pt>
                <c:pt idx="15">
                  <c:v>1.9443592233135232</c:v>
                </c:pt>
                <c:pt idx="16">
                  <c:v>1.8766922335578959</c:v>
                </c:pt>
                <c:pt idx="17">
                  <c:v>2.0597844932409526</c:v>
                </c:pt>
                <c:pt idx="18">
                  <c:v>1.952055398328818</c:v>
                </c:pt>
                <c:pt idx="19">
                  <c:v>2.1131717097945413</c:v>
                </c:pt>
                <c:pt idx="20">
                  <c:v>1.9236655903321582</c:v>
                </c:pt>
                <c:pt idx="21">
                  <c:v>1.9946205273521525</c:v>
                </c:pt>
              </c:numCache>
            </c:numRef>
          </c:xVal>
          <c:yVal>
            <c:numRef>
              <c:f>'Right Curved Sprint'!$X$49:$X$70</c:f>
              <c:numCache>
                <c:formatCode>0.000</c:formatCode>
                <c:ptCount val="22"/>
                <c:pt idx="0">
                  <c:v>-0.11287179989971863</c:v>
                </c:pt>
                <c:pt idx="1">
                  <c:v>-0.17337505509313322</c:v>
                </c:pt>
                <c:pt idx="2">
                  <c:v>-0.10899999999999999</c:v>
                </c:pt>
                <c:pt idx="3">
                  <c:v>-7.7999999999999847E-2</c:v>
                </c:pt>
                <c:pt idx="4">
                  <c:v>-0.1120000000000001</c:v>
                </c:pt>
                <c:pt idx="5">
                  <c:v>-9.7539383622434972E-2</c:v>
                </c:pt>
                <c:pt idx="6">
                  <c:v>-3.9000000000000146E-2</c:v>
                </c:pt>
                <c:pt idx="7">
                  <c:v>3.4999999999999698E-2</c:v>
                </c:pt>
                <c:pt idx="8">
                  <c:v>-0.15600000000000014</c:v>
                </c:pt>
                <c:pt idx="9">
                  <c:v>-8.0999999999999961E-2</c:v>
                </c:pt>
                <c:pt idx="10">
                  <c:v>2.4000000000000021E-2</c:v>
                </c:pt>
                <c:pt idx="11">
                  <c:v>2.0000000000000018E-2</c:v>
                </c:pt>
                <c:pt idx="12">
                  <c:v>-6.4000000000000057E-2</c:v>
                </c:pt>
                <c:pt idx="13">
                  <c:v>-8.0000000000000071E-2</c:v>
                </c:pt>
                <c:pt idx="14">
                  <c:v>4.8999999999999932E-2</c:v>
                </c:pt>
                <c:pt idx="15">
                  <c:v>2.4000000000000021E-2</c:v>
                </c:pt>
                <c:pt idx="16">
                  <c:v>5.2999999999999936E-2</c:v>
                </c:pt>
                <c:pt idx="17">
                  <c:v>-4.6000000000000263E-2</c:v>
                </c:pt>
                <c:pt idx="18">
                  <c:v>-9.1000000000000192E-2</c:v>
                </c:pt>
                <c:pt idx="19">
                  <c:v>-5.9000000000000163E-2</c:v>
                </c:pt>
                <c:pt idx="20">
                  <c:v>0.10400000000000009</c:v>
                </c:pt>
                <c:pt idx="21">
                  <c:v>5.500000000000016E-2</c:v>
                </c:pt>
              </c:numCache>
            </c:numRef>
          </c:yVal>
          <c:smooth val="0"/>
          <c:extLst>
            <c:ext xmlns:c16="http://schemas.microsoft.com/office/drawing/2014/chart" uri="{C3380CC4-5D6E-409C-BE32-E72D297353CC}">
              <c16:uniqueId val="{00000000-3CED-48B1-900F-2EF7131D9727}"/>
            </c:ext>
          </c:extLst>
        </c:ser>
        <c:ser>
          <c:idx val="1"/>
          <c:order val="1"/>
          <c:tx>
            <c:v>Moyenne</c:v>
          </c:tx>
          <c:spPr>
            <a:ln w="25400" cap="rnd">
              <a:noFill/>
              <a:round/>
            </a:ln>
            <a:effectLst/>
          </c:spPr>
          <c:marker>
            <c:symbol val="triangle"/>
            <c:size val="5"/>
            <c:spPr>
              <a:solidFill>
                <a:schemeClr val="accent2"/>
              </a:solidFill>
              <a:ln w="38100">
                <a:solidFill>
                  <a:srgbClr val="FF0000"/>
                </a:solidFill>
              </a:ln>
              <a:effectLst/>
            </c:spPr>
          </c:marker>
          <c:xVal>
            <c:numRef>
              <c:f>'Right Curved Sprint'!$Z$49:$Z$50</c:f>
              <c:numCache>
                <c:formatCode>General</c:formatCode>
                <c:ptCount val="2"/>
                <c:pt idx="0">
                  <c:v>1</c:v>
                </c:pt>
                <c:pt idx="1">
                  <c:v>2</c:v>
                </c:pt>
              </c:numCache>
            </c:numRef>
          </c:xVal>
          <c:yVal>
            <c:numRef>
              <c:f>'Right Curved Sprint'!$AA$49:$AA$50</c:f>
              <c:numCache>
                <c:formatCode>General</c:formatCode>
                <c:ptCount val="2"/>
                <c:pt idx="0">
                  <c:v>-8.2000000000000003E-2</c:v>
                </c:pt>
                <c:pt idx="1">
                  <c:v>-3.0000000000000001E-3</c:v>
                </c:pt>
              </c:numCache>
            </c:numRef>
          </c:yVal>
          <c:smooth val="0"/>
          <c:extLst>
            <c:ext xmlns:c16="http://schemas.microsoft.com/office/drawing/2014/chart" uri="{C3380CC4-5D6E-409C-BE32-E72D297353CC}">
              <c16:uniqueId val="{00000001-3CED-48B1-900F-2EF7131D9727}"/>
            </c:ext>
          </c:extLst>
        </c:ser>
        <c:dLbls>
          <c:showLegendKey val="0"/>
          <c:showVal val="0"/>
          <c:showCatName val="0"/>
          <c:showSerName val="0"/>
          <c:showPercent val="0"/>
          <c:showBubbleSize val="0"/>
        </c:dLbls>
        <c:axId val="799186768"/>
        <c:axId val="799187128"/>
      </c:scatterChart>
      <c:valAx>
        <c:axId val="799186768"/>
        <c:scaling>
          <c:orientation val="minMax"/>
          <c:min val="0.5"/>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99187128"/>
        <c:crosses val="autoZero"/>
        <c:crossBetween val="midCat"/>
        <c:majorUnit val="1"/>
      </c:valAx>
      <c:valAx>
        <c:axId val="799187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fr-FR"/>
                  <a:t>Temps</a:t>
                </a:r>
                <a:r>
                  <a:rPr lang="fr-FR" baseline="0"/>
                  <a:t> (s)</a:t>
                </a:r>
                <a:endParaRPr lang="fr-FR"/>
              </a:p>
            </c:rich>
          </c:tx>
          <c:layout>
            <c:manualLayout>
              <c:xMode val="edge"/>
              <c:yMode val="edge"/>
              <c:x val="2.5088619213926976E-2"/>
              <c:y val="0.408743061281353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fr-FR"/>
            </a:p>
          </c:tx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7991867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fr-FR" sz="1200" b="1" i="1"/>
              <a:t>Moyenne et écart-type des variations de temps de sprint entre les groupes Core et Crtl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fr-FR"/>
        </a:p>
      </c:txPr>
    </c:title>
    <c:autoTitleDeleted val="0"/>
    <c:plotArea>
      <c:layout>
        <c:manualLayout>
          <c:layoutTarget val="inner"/>
          <c:xMode val="edge"/>
          <c:yMode val="edge"/>
          <c:x val="0.14941447944007"/>
          <c:y val="0.29077537182852142"/>
          <c:w val="0.81663144815419453"/>
          <c:h val="0.66527777777777775"/>
        </c:manualLayout>
      </c:layout>
      <c:barChart>
        <c:barDir val="col"/>
        <c:grouping val="clustered"/>
        <c:varyColors val="0"/>
        <c:ser>
          <c:idx val="0"/>
          <c:order val="0"/>
          <c:tx>
            <c:strRef>
              <c:f>'Left Curved Sprint'!$N$43</c:f>
              <c:strCache>
                <c:ptCount val="1"/>
                <c:pt idx="0">
                  <c:v>Moyenne</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49D5-483F-BB05-B200342180FB}"/>
              </c:ext>
            </c:extLst>
          </c:dPt>
          <c:dPt>
            <c:idx val="1"/>
            <c:invertIfNegative val="0"/>
            <c:bubble3D val="0"/>
            <c:spPr>
              <a:solidFill>
                <a:srgbClr val="FFC000"/>
              </a:solidFill>
              <a:ln>
                <a:noFill/>
              </a:ln>
              <a:effectLst/>
            </c:spPr>
            <c:extLst>
              <c:ext xmlns:c16="http://schemas.microsoft.com/office/drawing/2014/chart" uri="{C3380CC4-5D6E-409C-BE32-E72D297353CC}">
                <c16:uniqueId val="{00000002-49D5-483F-BB05-B20034218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minus"/>
            <c:errValType val="cust"/>
            <c:noEndCap val="0"/>
            <c:plus>
              <c:numRef>
                <c:f>'Left Curved Sprint'!$O$44:$P$44</c:f>
                <c:numCache>
                  <c:formatCode>General</c:formatCode>
                  <c:ptCount val="2"/>
                  <c:pt idx="0">
                    <c:v>6.8000000000000005E-2</c:v>
                  </c:pt>
                  <c:pt idx="1">
                    <c:v>0.03</c:v>
                  </c:pt>
                </c:numCache>
              </c:numRef>
            </c:plus>
            <c:minus>
              <c:numRef>
                <c:f>'Left Curved Sprint'!$O$44:$P$44</c:f>
                <c:numCache>
                  <c:formatCode>General</c:formatCode>
                  <c:ptCount val="2"/>
                  <c:pt idx="0">
                    <c:v>6.8000000000000005E-2</c:v>
                  </c:pt>
                  <c:pt idx="1">
                    <c:v>0.03</c:v>
                  </c:pt>
                </c:numCache>
              </c:numRef>
            </c:minus>
            <c:spPr>
              <a:noFill/>
              <a:ln w="9525" cap="flat" cmpd="sng" algn="ctr">
                <a:solidFill>
                  <a:schemeClr val="tx1">
                    <a:lumMod val="65000"/>
                    <a:lumOff val="35000"/>
                  </a:schemeClr>
                </a:solidFill>
                <a:round/>
              </a:ln>
              <a:effectLst/>
            </c:spPr>
          </c:errBars>
          <c:cat>
            <c:strRef>
              <c:f>'Left Curved Sprint'!$O$42:$P$42</c:f>
              <c:strCache>
                <c:ptCount val="2"/>
                <c:pt idx="0">
                  <c:v>▲ Core</c:v>
                </c:pt>
                <c:pt idx="1">
                  <c:v>▲ CRTL</c:v>
                </c:pt>
              </c:strCache>
            </c:strRef>
          </c:cat>
          <c:val>
            <c:numRef>
              <c:f>'Left Curved Sprint'!$O$43:$P$43</c:f>
              <c:numCache>
                <c:formatCode>General</c:formatCode>
                <c:ptCount val="2"/>
                <c:pt idx="0">
                  <c:v>-5.5E-2</c:v>
                </c:pt>
                <c:pt idx="1">
                  <c:v>-2.4E-2</c:v>
                </c:pt>
              </c:numCache>
            </c:numRef>
          </c:val>
          <c:extLst>
            <c:ext xmlns:c16="http://schemas.microsoft.com/office/drawing/2014/chart" uri="{C3380CC4-5D6E-409C-BE32-E72D297353CC}">
              <c16:uniqueId val="{00000000-49D5-483F-BB05-B200342180FB}"/>
            </c:ext>
          </c:extLst>
        </c:ser>
        <c:dLbls>
          <c:showLegendKey val="0"/>
          <c:showVal val="0"/>
          <c:showCatName val="0"/>
          <c:showSerName val="0"/>
          <c:showPercent val="0"/>
          <c:showBubbleSize val="0"/>
        </c:dLbls>
        <c:gapWidth val="219"/>
        <c:overlap val="-27"/>
        <c:axId val="790635216"/>
        <c:axId val="790638456"/>
      </c:barChart>
      <c:catAx>
        <c:axId val="790635216"/>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dk1"/>
                </a:solidFill>
                <a:latin typeface="+mn-lt"/>
                <a:ea typeface="+mn-ea"/>
                <a:cs typeface="+mn-cs"/>
              </a:defRPr>
            </a:pPr>
            <a:endParaRPr lang="fr-FR"/>
          </a:p>
        </c:txPr>
        <c:crossAx val="790638456"/>
        <c:crossesAt val="0"/>
        <c:auto val="0"/>
        <c:lblAlgn val="ctr"/>
        <c:lblOffset val="100"/>
        <c:noMultiLvlLbl val="0"/>
      </c:catAx>
      <c:valAx>
        <c:axId val="790638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fr-FR">
                    <a:solidFill>
                      <a:sysClr val="windowText" lastClr="000000"/>
                    </a:solidFill>
                  </a:rPr>
                  <a:t>Temps</a:t>
                </a:r>
                <a:r>
                  <a:rPr lang="fr-FR" baseline="0">
                    <a:solidFill>
                      <a:sysClr val="windowText" lastClr="000000"/>
                    </a:solidFill>
                  </a:rPr>
                  <a:t> (s)</a:t>
                </a:r>
                <a:endParaRPr lang="fr-FR">
                  <a:solidFill>
                    <a:sysClr val="windowText" lastClr="000000"/>
                  </a:solidFill>
                </a:endParaRPr>
              </a:p>
            </c:rich>
          </c:tx>
          <c:layout>
            <c:manualLayout>
              <c:xMode val="edge"/>
              <c:yMode val="edge"/>
              <c:x val="1.3888888888888888E-2"/>
              <c:y val="0.43355314960629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790635216"/>
        <c:crossesAt val="1"/>
        <c:crossBetween val="between"/>
      </c:valAx>
      <c:spPr>
        <a:noFill/>
        <a:ln>
          <a:noFill/>
        </a:ln>
        <a:effectLst/>
      </c:spPr>
    </c:plotArea>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fr-FR" sz="1200" b="1"/>
              <a:t>Valeurs</a:t>
            </a:r>
            <a:r>
              <a:rPr lang="fr-FR" sz="1200" b="1" baseline="0"/>
              <a:t> individuelles et moyenne des variations de temps de sprint dans les groupes Core et Crtl </a:t>
            </a:r>
            <a:endParaRPr lang="fr-FR" sz="1200" b="1"/>
          </a:p>
        </c:rich>
      </c:tx>
      <c:layout>
        <c:manualLayout>
          <c:xMode val="edge"/>
          <c:yMode val="edge"/>
          <c:x val="0.15858274974052392"/>
          <c:y val="2.34930937703714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fr-FR"/>
        </a:p>
      </c:txPr>
    </c:title>
    <c:autoTitleDeleted val="0"/>
    <c:plotArea>
      <c:layout>
        <c:manualLayout>
          <c:layoutTarget val="inner"/>
          <c:xMode val="edge"/>
          <c:yMode val="edge"/>
          <c:x val="0.16485892388451442"/>
          <c:y val="0.2093020072351329"/>
          <c:w val="0.78866885389326336"/>
          <c:h val="0.67958712830040968"/>
        </c:manualLayout>
      </c:layout>
      <c:scatterChart>
        <c:scatterStyle val="lineMarker"/>
        <c:varyColors val="0"/>
        <c:ser>
          <c:idx val="0"/>
          <c:order val="0"/>
          <c:tx>
            <c:strRef>
              <c:f>'Left Curved Sprint'!$X$41</c:f>
              <c:strCache>
                <c:ptCount val="1"/>
                <c:pt idx="0">
                  <c:v>Diff Sprint</c:v>
                </c:pt>
              </c:strCache>
            </c:strRef>
          </c:tx>
          <c:spPr>
            <a:ln w="38100" cap="rnd">
              <a:noFill/>
              <a:round/>
            </a:ln>
            <a:effectLst/>
          </c:spPr>
          <c:marker>
            <c:symbol val="circle"/>
            <c:size val="5"/>
            <c:spPr>
              <a:solidFill>
                <a:schemeClr val="accent1"/>
              </a:solidFill>
              <a:ln w="9525">
                <a:solidFill>
                  <a:schemeClr val="accent1"/>
                </a:solidFill>
              </a:ln>
              <a:effectLst/>
            </c:spPr>
          </c:marker>
          <c:xVal>
            <c:numRef>
              <c:f>'Left Curved Sprint'!$W$42:$W$63</c:f>
              <c:numCache>
                <c:formatCode>General</c:formatCode>
                <c:ptCount val="22"/>
                <c:pt idx="0">
                  <c:v>1.0384538559609848</c:v>
                </c:pt>
                <c:pt idx="1">
                  <c:v>1.1192712646443357</c:v>
                </c:pt>
                <c:pt idx="2">
                  <c:v>1.1295058582389708</c:v>
                </c:pt>
                <c:pt idx="3">
                  <c:v>0.87856110293150913</c:v>
                </c:pt>
                <c:pt idx="4">
                  <c:v>1.1325351180931371</c:v>
                </c:pt>
                <c:pt idx="5">
                  <c:v>1.125995273309897</c:v>
                </c:pt>
                <c:pt idx="6">
                  <c:v>0.98217542665259372</c:v>
                </c:pt>
                <c:pt idx="7">
                  <c:v>0.99557873633203986</c:v>
                </c:pt>
                <c:pt idx="8">
                  <c:v>0.94603584317617706</c:v>
                </c:pt>
                <c:pt idx="9">
                  <c:v>1.0398363755986286</c:v>
                </c:pt>
                <c:pt idx="10">
                  <c:v>1.1453871509058535</c:v>
                </c:pt>
                <c:pt idx="11">
                  <c:v>1.9748291106283749</c:v>
                </c:pt>
                <c:pt idx="12">
                  <c:v>2.1066168447815339</c:v>
                </c:pt>
                <c:pt idx="13">
                  <c:v>1.9980057377441436</c:v>
                </c:pt>
                <c:pt idx="14">
                  <c:v>2.0348310929694988</c:v>
                </c:pt>
                <c:pt idx="15">
                  <c:v>1.9400336959721103</c:v>
                </c:pt>
                <c:pt idx="16">
                  <c:v>2.1118816993556999</c:v>
                </c:pt>
                <c:pt idx="17">
                  <c:v>1.8544064406721339</c:v>
                </c:pt>
                <c:pt idx="18">
                  <c:v>2.0559606322989565</c:v>
                </c:pt>
                <c:pt idx="19">
                  <c:v>1.9511293452516754</c:v>
                </c:pt>
                <c:pt idx="20">
                  <c:v>2.0853418974241835</c:v>
                </c:pt>
                <c:pt idx="21">
                  <c:v>2.1387832526996227</c:v>
                </c:pt>
              </c:numCache>
            </c:numRef>
          </c:xVal>
          <c:yVal>
            <c:numRef>
              <c:f>'Left Curved Sprint'!$X$42:$X$63</c:f>
              <c:numCache>
                <c:formatCode>0.000</c:formatCode>
                <c:ptCount val="22"/>
                <c:pt idx="0">
                  <c:v>-4.8000000000000043E-2</c:v>
                </c:pt>
                <c:pt idx="1">
                  <c:v>-2.4000000000000021E-2</c:v>
                </c:pt>
                <c:pt idx="2">
                  <c:v>-5.600000000000005E-2</c:v>
                </c:pt>
                <c:pt idx="3">
                  <c:v>-2.8000000000000025E-2</c:v>
                </c:pt>
                <c:pt idx="4">
                  <c:v>-6.1999999999999833E-2</c:v>
                </c:pt>
                <c:pt idx="5">
                  <c:v>2.9000000000000359E-2</c:v>
                </c:pt>
                <c:pt idx="6">
                  <c:v>-4.9999999999998934E-3</c:v>
                </c:pt>
                <c:pt idx="7">
                  <c:v>-3.7999999999999812E-2</c:v>
                </c:pt>
                <c:pt idx="8">
                  <c:v>-0.20599999999999996</c:v>
                </c:pt>
                <c:pt idx="9">
                  <c:v>-0.15500000000000025</c:v>
                </c:pt>
                <c:pt idx="10">
                  <c:v>-9.0000000000003411E-3</c:v>
                </c:pt>
                <c:pt idx="11">
                  <c:v>-3.3999999999999808E-2</c:v>
                </c:pt>
                <c:pt idx="12">
                  <c:v>-3.7999999999999812E-2</c:v>
                </c:pt>
                <c:pt idx="13">
                  <c:v>-7.099999999999973E-2</c:v>
                </c:pt>
                <c:pt idx="14">
                  <c:v>-1.0000000000000231E-2</c:v>
                </c:pt>
                <c:pt idx="15">
                  <c:v>-4.9999999999998934E-3</c:v>
                </c:pt>
                <c:pt idx="16">
                  <c:v>-5.9000000000000163E-2</c:v>
                </c:pt>
                <c:pt idx="17">
                  <c:v>-3.0000000000000249E-2</c:v>
                </c:pt>
                <c:pt idx="18">
                  <c:v>3.2000000000000028E-2</c:v>
                </c:pt>
                <c:pt idx="19">
                  <c:v>-4.1999999999999815E-2</c:v>
                </c:pt>
                <c:pt idx="20">
                  <c:v>-2.3000000000000131E-2</c:v>
                </c:pt>
                <c:pt idx="21">
                  <c:v>1.2999999999999901E-2</c:v>
                </c:pt>
              </c:numCache>
            </c:numRef>
          </c:yVal>
          <c:smooth val="0"/>
          <c:extLst>
            <c:ext xmlns:c16="http://schemas.microsoft.com/office/drawing/2014/chart" uri="{C3380CC4-5D6E-409C-BE32-E72D297353CC}">
              <c16:uniqueId val="{00000000-3E0B-4C69-90D9-55EE9EDF57F1}"/>
            </c:ext>
          </c:extLst>
        </c:ser>
        <c:ser>
          <c:idx val="1"/>
          <c:order val="1"/>
          <c:tx>
            <c:v>Moyenne</c:v>
          </c:tx>
          <c:spPr>
            <a:ln w="25400" cap="rnd">
              <a:noFill/>
              <a:round/>
            </a:ln>
            <a:effectLst/>
          </c:spPr>
          <c:marker>
            <c:symbol val="triangle"/>
            <c:size val="8"/>
            <c:spPr>
              <a:solidFill>
                <a:schemeClr val="accent2"/>
              </a:solidFill>
              <a:ln w="22225">
                <a:solidFill>
                  <a:srgbClr val="FF0000"/>
                </a:solidFill>
              </a:ln>
              <a:effectLst/>
            </c:spPr>
          </c:marker>
          <c:xVal>
            <c:numRef>
              <c:f>'Left Curved Sprint'!$Z$42:$Z$43</c:f>
              <c:numCache>
                <c:formatCode>General</c:formatCode>
                <c:ptCount val="2"/>
                <c:pt idx="0">
                  <c:v>1</c:v>
                </c:pt>
                <c:pt idx="1">
                  <c:v>2</c:v>
                </c:pt>
              </c:numCache>
            </c:numRef>
          </c:xVal>
          <c:yVal>
            <c:numRef>
              <c:f>'Left Curved Sprint'!$AA$42:$AA$43</c:f>
              <c:numCache>
                <c:formatCode>General</c:formatCode>
                <c:ptCount val="2"/>
                <c:pt idx="0">
                  <c:v>-5.5E-2</c:v>
                </c:pt>
                <c:pt idx="1">
                  <c:v>-2.4E-2</c:v>
                </c:pt>
              </c:numCache>
            </c:numRef>
          </c:yVal>
          <c:smooth val="0"/>
          <c:extLst>
            <c:ext xmlns:c16="http://schemas.microsoft.com/office/drawing/2014/chart" uri="{C3380CC4-5D6E-409C-BE32-E72D297353CC}">
              <c16:uniqueId val="{00000002-3E0B-4C69-90D9-55EE9EDF57F1}"/>
            </c:ext>
          </c:extLst>
        </c:ser>
        <c:dLbls>
          <c:showLegendKey val="0"/>
          <c:showVal val="0"/>
          <c:showCatName val="0"/>
          <c:showSerName val="0"/>
          <c:showPercent val="0"/>
          <c:showBubbleSize val="0"/>
        </c:dLbls>
        <c:axId val="872036696"/>
        <c:axId val="872036336"/>
      </c:scatterChart>
      <c:valAx>
        <c:axId val="872036696"/>
        <c:scaling>
          <c:orientation val="minMax"/>
          <c:min val="0.5"/>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72036336"/>
        <c:crosses val="autoZero"/>
        <c:crossBetween val="midCat"/>
        <c:majorUnit val="1"/>
      </c:valAx>
      <c:valAx>
        <c:axId val="872036336"/>
        <c:scaling>
          <c:orientation val="minMax"/>
          <c:max val="5.000000000000001E-2"/>
          <c:min val="-0.225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fr-FR">
                    <a:solidFill>
                      <a:sysClr val="windowText" lastClr="000000"/>
                    </a:solidFill>
                  </a:rPr>
                  <a:t>Temps</a:t>
                </a:r>
                <a:r>
                  <a:rPr lang="fr-FR" baseline="0">
                    <a:solidFill>
                      <a:sysClr val="windowText" lastClr="000000"/>
                    </a:solidFill>
                  </a:rPr>
                  <a:t> (s)</a:t>
                </a:r>
                <a:endParaRPr lang="fr-FR">
                  <a:solidFill>
                    <a:sysClr val="windowText" lastClr="000000"/>
                  </a:solidFill>
                </a:endParaRPr>
              </a:p>
            </c:rich>
          </c:tx>
          <c:layout>
            <c:manualLayout>
              <c:xMode val="edge"/>
              <c:yMode val="edge"/>
              <c:x val="1.6666666666666666E-2"/>
              <c:y val="0.451585739282589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fr-FR"/>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fr-FR"/>
          </a:p>
        </c:txPr>
        <c:crossAx val="872036696"/>
        <c:crosses val="autoZero"/>
        <c:crossBetween val="midCat"/>
      </c:valAx>
      <c:spPr>
        <a:noFill/>
        <a:ln>
          <a:noFill/>
        </a:ln>
        <a:effectLst/>
      </c:spPr>
    </c:plotArea>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fr-F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chart" Target="../charts/chart2.xml"/><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17146</xdr:colOff>
      <xdr:row>0</xdr:row>
      <xdr:rowOff>56815</xdr:rowOff>
    </xdr:from>
    <xdr:to>
      <xdr:col>12</xdr:col>
      <xdr:colOff>495300</xdr:colOff>
      <xdr:row>5</xdr:row>
      <xdr:rowOff>76200</xdr:rowOff>
    </xdr:to>
    <xdr:sp macro="" textlink="">
      <xdr:nvSpPr>
        <xdr:cNvPr id="3" name="CustomShape 1">
          <a:extLst>
            <a:ext uri="{FF2B5EF4-FFF2-40B4-BE49-F238E27FC236}">
              <a16:creationId xmlns:a16="http://schemas.microsoft.com/office/drawing/2014/main" id="{B060FA63-9A17-426F-8028-D8AC76D293C0}"/>
            </a:ext>
          </a:extLst>
        </xdr:cNvPr>
        <xdr:cNvSpPr/>
      </xdr:nvSpPr>
      <xdr:spPr>
        <a:xfrm>
          <a:off x="672466" y="56815"/>
          <a:ext cx="6086474" cy="933785"/>
        </a:xfrm>
        <a:prstGeom prst="rect">
          <a:avLst/>
        </a:prstGeom>
        <a:solidFill>
          <a:schemeClr val="tx2">
            <a:lumMod val="50000"/>
            <a:lumOff val="50000"/>
          </a:schemeClr>
        </a:solidFill>
        <a:ln/>
      </xdr:spPr>
      <xdr:style>
        <a:lnRef idx="2">
          <a:schemeClr val="dk1"/>
        </a:lnRef>
        <a:fillRef idx="1">
          <a:schemeClr val="lt1"/>
        </a:fillRef>
        <a:effectRef idx="0">
          <a:schemeClr val="dk1"/>
        </a:effectRef>
        <a:fontRef idx="minor">
          <a:schemeClr val="dk1"/>
        </a:fontRef>
      </xdr:style>
      <xdr:txBody>
        <a:bodyPr lIns="90000" tIns="45000" rIns="90000" bIns="45000" anchor="ctr"/>
        <a:lstStyle/>
        <a:p>
          <a:pPr algn="ctr">
            <a:lnSpc>
              <a:spcPct val="100000"/>
            </a:lnSpc>
          </a:pPr>
          <a:r>
            <a:rPr lang="fr-FR" sz="1100" b="1" u="sng"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Contexte :</a:t>
          </a:r>
        </a:p>
        <a:p>
          <a:pPr algn="ctr">
            <a:lnSpc>
              <a:spcPct val="100000"/>
            </a:lnSpc>
          </a:pPr>
          <a:r>
            <a:rPr lang="fr-FR" sz="105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On cherche</a:t>
          </a: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à </a:t>
          </a:r>
          <a:r>
            <a:rPr lang="fr-FR" sz="105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déterminer si le</a:t>
          </a: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core-training a un effet significatif sur la vitesse d'accélération en courbe . </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Pour cela 2 groupes ont été constitués : CTRL et CORE. </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Le temps lors d'une accélération en courbe a été mesurée avant et après 8 semaines de core-training</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=&gt; répondre à la question : le Core-training a-t-il eu un effet significatif sur la vitesse en courbe ?</a:t>
          </a:r>
          <a:endParaRPr lang="fr-FR" sz="1050" b="0" strike="noStrike" spc="-1">
            <a:solidFill>
              <a:srgbClr val="000000"/>
            </a:solidFill>
            <a:uFill>
              <a:solidFill>
                <a:srgbClr val="FFFFFF"/>
              </a:solidFill>
            </a:uFill>
            <a:latin typeface="Times New Roman" panose="02020603050405020304" pitchFamily="18" charset="0"/>
            <a:cs typeface="Times New Roman" panose="02020603050405020304" pitchFamily="18" charset="0"/>
          </a:endParaRPr>
        </a:p>
      </xdr:txBody>
    </xdr:sp>
    <xdr:clientData/>
  </xdr:twoCellAnchor>
  <xdr:twoCellAnchor editAs="oneCell">
    <xdr:from>
      <xdr:col>14</xdr:col>
      <xdr:colOff>209549</xdr:colOff>
      <xdr:row>7</xdr:row>
      <xdr:rowOff>9525</xdr:rowOff>
    </xdr:from>
    <xdr:to>
      <xdr:col>21</xdr:col>
      <xdr:colOff>171449</xdr:colOff>
      <xdr:row>17</xdr:row>
      <xdr:rowOff>0</xdr:rowOff>
    </xdr:to>
    <xdr:sp macro="" textlink="">
      <xdr:nvSpPr>
        <xdr:cNvPr id="2" name="CustomShape 1">
          <a:extLst>
            <a:ext uri="{FF2B5EF4-FFF2-40B4-BE49-F238E27FC236}">
              <a16:creationId xmlns:a16="http://schemas.microsoft.com/office/drawing/2014/main" id="{2950C439-F4FE-4EB0-8C24-65B2A62EB625}"/>
            </a:ext>
          </a:extLst>
        </xdr:cNvPr>
        <xdr:cNvSpPr/>
      </xdr:nvSpPr>
      <xdr:spPr>
        <a:xfrm>
          <a:off x="7581899" y="1314450"/>
          <a:ext cx="5495925" cy="1704975"/>
        </a:xfrm>
        <a:prstGeom prst="rect">
          <a:avLst/>
        </a:prstGeom>
        <a:solidFill>
          <a:schemeClr val="accent2">
            <a:lumMod val="20000"/>
            <a:lumOff val="80000"/>
          </a:schemeClr>
        </a:solidFill>
        <a:ln w="936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nchor="t"/>
        <a:lstStyle/>
        <a:p>
          <a:pPr algn="l">
            <a:lnSpc>
              <a:spcPct val="100000"/>
            </a:lnSpc>
          </a:pPr>
          <a:r>
            <a:rPr lang="fr-FR" sz="1100" b="1" u="sng" strike="noStrike" spc="-1">
              <a:solidFill>
                <a:srgbClr val="000000"/>
              </a:solidFill>
              <a:uFill>
                <a:solidFill>
                  <a:srgbClr val="FFFFFF"/>
                </a:solidFill>
              </a:uFill>
              <a:latin typeface="Times New Roman"/>
            </a:rPr>
            <a:t>Démarche :</a:t>
          </a:r>
        </a:p>
        <a:p>
          <a:pPr algn="l">
            <a:lnSpc>
              <a:spcPct val="100000"/>
            </a:lnSpc>
          </a:pPr>
          <a:r>
            <a:rPr lang="fr-FR" sz="1100" b="0" strike="noStrike" spc="-1">
              <a:solidFill>
                <a:srgbClr val="000000"/>
              </a:solidFill>
              <a:uFill>
                <a:solidFill>
                  <a:srgbClr val="FFFFFF"/>
                </a:solidFill>
              </a:uFill>
              <a:latin typeface="Times New Roman"/>
            </a:rPr>
            <a:t>On cherche à </a:t>
          </a:r>
          <a:r>
            <a:rPr lang="fr-FR" sz="1100" b="1" i="1" strike="noStrike" spc="-1">
              <a:solidFill>
                <a:srgbClr val="000000"/>
              </a:solidFill>
              <a:uFill>
                <a:solidFill>
                  <a:srgbClr val="FFFFFF"/>
                </a:solidFill>
              </a:uFill>
              <a:latin typeface="Times New Roman"/>
            </a:rPr>
            <a:t>comparer la différence avant-après</a:t>
          </a:r>
          <a:r>
            <a:rPr lang="fr-FR" sz="1100" b="1" i="1" strike="noStrike" spc="-1" baseline="0">
              <a:solidFill>
                <a:srgbClr val="000000"/>
              </a:solidFill>
              <a:uFill>
                <a:solidFill>
                  <a:srgbClr val="FFFFFF"/>
                </a:solidFill>
              </a:uFill>
              <a:latin typeface="Times New Roman"/>
            </a:rPr>
            <a:t> entre les 2 groupes</a:t>
          </a:r>
          <a:r>
            <a:rPr lang="fr-FR" sz="1100" b="0" strike="noStrike" spc="-1" baseline="0">
              <a:solidFill>
                <a:srgbClr val="000000"/>
              </a:solidFill>
              <a:uFill>
                <a:solidFill>
                  <a:srgbClr val="FFFFFF"/>
                </a:solidFill>
              </a:uFill>
              <a:latin typeface="Times New Roman"/>
            </a:rPr>
            <a:t> (CORE vs CRTL).</a:t>
          </a:r>
        </a:p>
        <a:p>
          <a:pPr algn="l">
            <a:lnSpc>
              <a:spcPct val="100000"/>
            </a:lnSpc>
          </a:pPr>
          <a:r>
            <a:rPr lang="fr-FR" sz="1100" b="0" strike="noStrike" spc="-1" baseline="0">
              <a:solidFill>
                <a:srgbClr val="000000"/>
              </a:solidFill>
              <a:uFill>
                <a:solidFill>
                  <a:srgbClr val="FFFFFF"/>
                </a:solidFill>
              </a:uFill>
              <a:latin typeface="Times New Roman"/>
            </a:rPr>
            <a:t>Pour cela, la différence des valeurs avant-après pour chaque joueur a été calculée.</a:t>
          </a:r>
        </a:p>
        <a:p>
          <a:pPr algn="l">
            <a:lnSpc>
              <a:spcPct val="100000"/>
            </a:lnSpc>
          </a:pPr>
          <a:r>
            <a:rPr lang="fr-FR" sz="1100" b="0" strike="noStrike" spc="-1" baseline="0">
              <a:solidFill>
                <a:srgbClr val="000000"/>
              </a:solidFill>
              <a:uFill>
                <a:solidFill>
                  <a:srgbClr val="FFFFFF"/>
                </a:solidFill>
              </a:uFill>
              <a:latin typeface="Times New Roman"/>
            </a:rPr>
            <a:t>Nous obtenons des valeurs négatives (gain de temps) et des valeurs positives (perte de temps).</a:t>
          </a:r>
        </a:p>
        <a:p>
          <a:pPr algn="l">
            <a:lnSpc>
              <a:spcPct val="100000"/>
            </a:lnSpc>
          </a:pPr>
          <a:r>
            <a:rPr lang="fr-FR" sz="1100" b="0" strike="noStrike" spc="-1" baseline="0">
              <a:solidFill>
                <a:srgbClr val="000000"/>
              </a:solidFill>
              <a:uFill>
                <a:solidFill>
                  <a:srgbClr val="FFFFFF"/>
                </a:solidFill>
              </a:uFill>
              <a:latin typeface="Times New Roman"/>
            </a:rPr>
            <a:t>Ce sont des </a:t>
          </a:r>
          <a:r>
            <a:rPr lang="fr-FR" sz="1100" b="1" i="1" strike="noStrike" spc="-1" baseline="0">
              <a:solidFill>
                <a:srgbClr val="000000"/>
              </a:solidFill>
              <a:uFill>
                <a:solidFill>
                  <a:srgbClr val="FFFFFF"/>
                </a:solidFill>
              </a:uFill>
              <a:latin typeface="Times New Roman"/>
            </a:rPr>
            <a:t>valeurs quantitatives continues</a:t>
          </a:r>
          <a:r>
            <a:rPr lang="fr-FR" sz="1100" b="0" strike="noStrike" spc="-1" baseline="0">
              <a:solidFill>
                <a:srgbClr val="000000"/>
              </a:solidFill>
              <a:uFill>
                <a:solidFill>
                  <a:srgbClr val="FFFFFF"/>
                </a:solidFill>
              </a:uFill>
              <a:latin typeface="Times New Roman"/>
            </a:rPr>
            <a:t>. </a:t>
          </a:r>
        </a:p>
        <a:p>
          <a:pPr algn="l">
            <a:lnSpc>
              <a:spcPct val="100000"/>
            </a:lnSpc>
          </a:pPr>
          <a:r>
            <a:rPr lang="fr-FR" sz="1100" b="0" strike="noStrike" spc="-1" baseline="0">
              <a:solidFill>
                <a:srgbClr val="000000"/>
              </a:solidFill>
              <a:uFill>
                <a:solidFill>
                  <a:srgbClr val="FFFFFF"/>
                </a:solidFill>
              </a:uFill>
              <a:latin typeface="Times New Roman"/>
            </a:rPr>
            <a:t>Ainsi nous devons réaliser un </a:t>
          </a:r>
          <a:r>
            <a:rPr lang="fr-FR" sz="1100" b="1" i="1" strike="noStrike" spc="-1" baseline="0">
              <a:solidFill>
                <a:srgbClr val="000000"/>
              </a:solidFill>
              <a:uFill>
                <a:solidFill>
                  <a:srgbClr val="FFFFFF"/>
                </a:solidFill>
              </a:uFill>
              <a:latin typeface="Times New Roman"/>
            </a:rPr>
            <a:t>test de normalité </a:t>
          </a:r>
          <a:r>
            <a:rPr lang="fr-FR" sz="1100" b="0" strike="noStrike" spc="-1" baseline="0">
              <a:solidFill>
                <a:srgbClr val="000000"/>
              </a:solidFill>
              <a:uFill>
                <a:solidFill>
                  <a:srgbClr val="FFFFFF"/>
                </a:solidFill>
              </a:uFill>
              <a:latin typeface="Times New Roman"/>
            </a:rPr>
            <a:t>afin de savoir si nous devons faire un test paramétrique ou non.</a:t>
          </a:r>
        </a:p>
        <a:p>
          <a:pPr algn="l">
            <a:lnSpc>
              <a:spcPct val="100000"/>
            </a:lnSpc>
          </a:pPr>
          <a:endParaRPr lang="fr-FR" sz="1050" b="0" strike="noStrike" spc="-1" baseline="0">
            <a:solidFill>
              <a:srgbClr val="000000"/>
            </a:solidFill>
            <a:uFill>
              <a:solidFill>
                <a:srgbClr val="FFFFFF"/>
              </a:solidFill>
            </a:uFill>
            <a:latin typeface="Times New Roman"/>
          </a:endParaRPr>
        </a:p>
        <a:p>
          <a:pPr algn="l">
            <a:lnSpc>
              <a:spcPct val="100000"/>
            </a:lnSpc>
          </a:pPr>
          <a:r>
            <a:rPr lang="fr-FR" sz="1050" b="0" u="sng" strike="noStrike" spc="-1" baseline="0">
              <a:solidFill>
                <a:srgbClr val="000000"/>
              </a:solidFill>
              <a:uFill>
                <a:solidFill>
                  <a:srgbClr val="FFFFFF"/>
                </a:solidFill>
              </a:uFill>
              <a:latin typeface="Times New Roman"/>
            </a:rPr>
            <a:t>Note : </a:t>
          </a:r>
          <a:r>
            <a:rPr lang="fr-FR" sz="1050" b="0" strike="noStrike" spc="-1" baseline="0">
              <a:solidFill>
                <a:srgbClr val="000000"/>
              </a:solidFill>
              <a:uFill>
                <a:solidFill>
                  <a:srgbClr val="FFFFFF"/>
                </a:solidFill>
              </a:uFill>
              <a:latin typeface="Times New Roman"/>
            </a:rPr>
            <a:t>A partir d'ici, vous pouvez rendre sur les autres feuilles afin de visualiser les démarches personnelles selon le côté du test effectué =&gt; données différentes</a:t>
          </a:r>
        </a:p>
      </xdr:txBody>
    </xdr:sp>
    <xdr:clientData/>
  </xdr:twoCellAnchor>
  <xdr:twoCellAnchor>
    <xdr:from>
      <xdr:col>1</xdr:col>
      <xdr:colOff>30480</xdr:colOff>
      <xdr:row>0</xdr:row>
      <xdr:rowOff>83820</xdr:rowOff>
    </xdr:from>
    <xdr:to>
      <xdr:col>1</xdr:col>
      <xdr:colOff>228600</xdr:colOff>
      <xdr:row>1</xdr:row>
      <xdr:rowOff>68580</xdr:rowOff>
    </xdr:to>
    <xdr:sp macro="" textlink="">
      <xdr:nvSpPr>
        <xdr:cNvPr id="5" name="ZoneTexte 4">
          <a:extLst>
            <a:ext uri="{FF2B5EF4-FFF2-40B4-BE49-F238E27FC236}">
              <a16:creationId xmlns:a16="http://schemas.microsoft.com/office/drawing/2014/main" id="{7EC63F5F-9352-53E6-F50D-98924C92698B}"/>
            </a:ext>
          </a:extLst>
        </xdr:cNvPr>
        <xdr:cNvSpPr txBox="1"/>
      </xdr:nvSpPr>
      <xdr:spPr>
        <a:xfrm>
          <a:off x="685800" y="83820"/>
          <a:ext cx="198120" cy="16764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800" b="1"/>
            <a:t>1</a:t>
          </a:r>
        </a:p>
      </xdr:txBody>
    </xdr:sp>
    <xdr:clientData/>
  </xdr:twoCellAnchor>
  <xdr:twoCellAnchor>
    <xdr:from>
      <xdr:col>20</xdr:col>
      <xdr:colOff>723900</xdr:colOff>
      <xdr:row>7</xdr:row>
      <xdr:rowOff>15240</xdr:rowOff>
    </xdr:from>
    <xdr:to>
      <xdr:col>21</xdr:col>
      <xdr:colOff>129540</xdr:colOff>
      <xdr:row>8</xdr:row>
      <xdr:rowOff>106680</xdr:rowOff>
    </xdr:to>
    <xdr:sp macro="" textlink="">
      <xdr:nvSpPr>
        <xdr:cNvPr id="6" name="ZoneTexte 5">
          <a:extLst>
            <a:ext uri="{FF2B5EF4-FFF2-40B4-BE49-F238E27FC236}">
              <a16:creationId xmlns:a16="http://schemas.microsoft.com/office/drawing/2014/main" id="{AAA304CB-6239-4784-962B-81CCDF307BF1}"/>
            </a:ext>
          </a:extLst>
        </xdr:cNvPr>
        <xdr:cNvSpPr txBox="1"/>
      </xdr:nvSpPr>
      <xdr:spPr>
        <a:xfrm>
          <a:off x="12824460" y="1325880"/>
          <a:ext cx="198120" cy="16764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800" b="1"/>
            <a:t>2</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83821</xdr:colOff>
      <xdr:row>0</xdr:row>
      <xdr:rowOff>33683</xdr:rowOff>
    </xdr:from>
    <xdr:to>
      <xdr:col>10</xdr:col>
      <xdr:colOff>489217</xdr:colOff>
      <xdr:row>5</xdr:row>
      <xdr:rowOff>83884</xdr:rowOff>
    </xdr:to>
    <xdr:sp macro="" textlink="">
      <xdr:nvSpPr>
        <xdr:cNvPr id="2" name="CustomShape 1">
          <a:extLst>
            <a:ext uri="{FF2B5EF4-FFF2-40B4-BE49-F238E27FC236}">
              <a16:creationId xmlns:a16="http://schemas.microsoft.com/office/drawing/2014/main" id="{B1A96091-42FF-42AD-BECC-0B546D20C1B5}"/>
            </a:ext>
          </a:extLst>
        </xdr:cNvPr>
        <xdr:cNvSpPr/>
      </xdr:nvSpPr>
      <xdr:spPr>
        <a:xfrm>
          <a:off x="83821" y="33683"/>
          <a:ext cx="6153053" cy="975487"/>
        </a:xfrm>
        <a:prstGeom prst="rect">
          <a:avLst/>
        </a:prstGeom>
        <a:solidFill>
          <a:schemeClr val="tx2">
            <a:lumMod val="50000"/>
            <a:lumOff val="50000"/>
          </a:schemeClr>
        </a:solidFill>
        <a:ln w="936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nchor="ctr"/>
        <a:lstStyle/>
        <a:p>
          <a:pPr algn="ctr">
            <a:lnSpc>
              <a:spcPct val="100000"/>
            </a:lnSpc>
          </a:pPr>
          <a:r>
            <a:rPr lang="fr-FR" sz="105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On cherche</a:t>
          </a: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à </a:t>
          </a:r>
          <a:r>
            <a:rPr lang="fr-FR" sz="105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déterminer si le</a:t>
          </a: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core-training a un effet significatif sur la vitesse d'accélération en courbe . </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Pour cela 2 groupes ont été constitués : CTRL et CORE. </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Le temps lors d'une accélération en courbe a été mesurée avant et après 8 semaines de core-training</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=&gt; répondre à la question : le Core-training a-t-il eu un effet significatif sur la vitesse en courbe ?</a:t>
          </a:r>
          <a:endParaRPr lang="fr-FR" sz="1050" b="0" strike="noStrike" spc="-1">
            <a:solidFill>
              <a:srgbClr val="000000"/>
            </a:solidFill>
            <a:uFill>
              <a:solidFill>
                <a:srgbClr val="FFFFFF"/>
              </a:solidFill>
            </a:uFill>
            <a:latin typeface="Times New Roman" panose="02020603050405020304" pitchFamily="18" charset="0"/>
            <a:cs typeface="Times New Roman" panose="02020603050405020304" pitchFamily="18" charset="0"/>
          </a:endParaRPr>
        </a:p>
      </xdr:txBody>
    </xdr:sp>
    <xdr:clientData/>
  </xdr:twoCellAnchor>
  <xdr:twoCellAnchor editAs="oneCell">
    <xdr:from>
      <xdr:col>11</xdr:col>
      <xdr:colOff>370115</xdr:colOff>
      <xdr:row>0</xdr:row>
      <xdr:rowOff>43647</xdr:rowOff>
    </xdr:from>
    <xdr:to>
      <xdr:col>20</xdr:col>
      <xdr:colOff>604208</xdr:colOff>
      <xdr:row>15</xdr:row>
      <xdr:rowOff>120384</xdr:rowOff>
    </xdr:to>
    <xdr:sp macro="" textlink="">
      <xdr:nvSpPr>
        <xdr:cNvPr id="4" name="CustomShape 1">
          <a:extLst>
            <a:ext uri="{FF2B5EF4-FFF2-40B4-BE49-F238E27FC236}">
              <a16:creationId xmlns:a16="http://schemas.microsoft.com/office/drawing/2014/main" id="{CB9131C3-BC8D-4F73-937F-E7DBE5523672}"/>
            </a:ext>
          </a:extLst>
        </xdr:cNvPr>
        <xdr:cNvSpPr/>
      </xdr:nvSpPr>
      <xdr:spPr>
        <a:xfrm>
          <a:off x="6760029" y="43647"/>
          <a:ext cx="6885265" cy="2841708"/>
        </a:xfrm>
        <a:prstGeom prst="rect">
          <a:avLst/>
        </a:prstGeom>
        <a:solidFill>
          <a:schemeClr val="accent2">
            <a:lumMod val="20000"/>
            <a:lumOff val="80000"/>
          </a:schemeClr>
        </a:solidFill>
        <a:ln w="936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nchor="t"/>
        <a:lstStyle/>
        <a:p>
          <a:pPr algn="l">
            <a:lnSpc>
              <a:spcPct val="100000"/>
            </a:lnSpc>
          </a:pPr>
          <a:r>
            <a:rPr lang="fr-FR" sz="1100" b="1" u="sng" strike="noStrike" spc="-1">
              <a:solidFill>
                <a:srgbClr val="000000"/>
              </a:solidFill>
              <a:uFill>
                <a:solidFill>
                  <a:srgbClr val="FFFFFF"/>
                </a:solidFill>
              </a:uFill>
              <a:latin typeface="Times New Roman"/>
            </a:rPr>
            <a:t>Démarche :</a:t>
          </a:r>
        </a:p>
        <a:p>
          <a:pPr algn="l">
            <a:lnSpc>
              <a:spcPct val="100000"/>
            </a:lnSpc>
          </a:pPr>
          <a:r>
            <a:rPr lang="fr-FR">
              <a:latin typeface="Times New Roman" panose="02020603050405020304" pitchFamily="18" charset="0"/>
              <a:ea typeface="Calibri" panose="020F0502020204030204" pitchFamily="34" charset="0"/>
              <a:cs typeface="Times New Roman" panose="02020603050405020304" pitchFamily="18" charset="0"/>
            </a:rPr>
            <a:t>Avant de comparer les variations de performance entre les groupes, la </a:t>
          </a:r>
          <a:r>
            <a:rPr lang="fr-FR" b="1" i="1">
              <a:latin typeface="Times New Roman" panose="02020603050405020304" pitchFamily="18" charset="0"/>
              <a:ea typeface="Calibri" panose="020F0502020204030204" pitchFamily="34" charset="0"/>
              <a:cs typeface="Times New Roman" panose="02020603050405020304" pitchFamily="18" charset="0"/>
            </a:rPr>
            <a:t>normalité des distributions des différences individuelles</a:t>
          </a:r>
          <a:r>
            <a:rPr lang="fr-FR">
              <a:latin typeface="Times New Roman" panose="02020603050405020304" pitchFamily="18" charset="0"/>
              <a:ea typeface="Calibri" panose="020F0502020204030204" pitchFamily="34" charset="0"/>
              <a:cs typeface="Times New Roman" panose="02020603050405020304" pitchFamily="18" charset="0"/>
            </a:rPr>
            <a:t> (</a:t>
          </a:r>
          <a:r>
            <a:rPr lang="el-GR">
              <a:latin typeface="Times New Roman" panose="02020603050405020304" pitchFamily="18" charset="0"/>
              <a:ea typeface="Calibri" panose="020F0502020204030204" pitchFamily="34" charset="0"/>
              <a:cs typeface="Times New Roman" panose="02020603050405020304" pitchFamily="18" charset="0"/>
            </a:rPr>
            <a:t>Δ = </a:t>
          </a:r>
          <a:r>
            <a:rPr lang="fr-FR">
              <a:latin typeface="Times New Roman" panose="02020603050405020304" pitchFamily="18" charset="0"/>
              <a:ea typeface="Calibri" panose="020F0502020204030204" pitchFamily="34" charset="0"/>
              <a:cs typeface="Times New Roman" panose="02020603050405020304" pitchFamily="18" charset="0"/>
            </a:rPr>
            <a:t>Après − Avant) doit être vérifiée dans chacun des groupes à l’aide du </a:t>
          </a:r>
          <a:r>
            <a:rPr lang="fr-FR" b="1" i="1">
              <a:latin typeface="Times New Roman" panose="02020603050405020304" pitchFamily="18" charset="0"/>
              <a:ea typeface="Calibri" panose="020F0502020204030204" pitchFamily="34" charset="0"/>
              <a:cs typeface="Times New Roman" panose="02020603050405020304" pitchFamily="18" charset="0"/>
            </a:rPr>
            <a:t>test de Shapiro–Wilk</a:t>
          </a:r>
          <a:r>
            <a:rPr lang="fr-FR">
              <a:latin typeface="Times New Roman" panose="02020603050405020304" pitchFamily="18" charset="0"/>
              <a:ea typeface="Calibri" panose="020F0502020204030204" pitchFamily="34" charset="0"/>
              <a:cs typeface="Times New Roman" panose="02020603050405020304" pitchFamily="18" charset="0"/>
            </a:rPr>
            <a:t>. Cette étape permet de déterminer l’utilisation d’un test paramétrique ou non paramétrique pour la comparaison intergroupes.</a:t>
          </a: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Core : </a:t>
          </a:r>
          <a:r>
            <a:rPr kumimoji="0" lang="fr-FR" sz="1100" b="0" i="0" u="none" strike="noStrike" kern="0" cap="none" spc="-1" normalizeH="0" baseline="0" noProof="0">
              <a:ln>
                <a:noFill/>
              </a:ln>
              <a:solidFill>
                <a:srgbClr val="000000"/>
              </a:solidFill>
              <a:effectLst/>
              <a:uLnTx/>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p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 0,311 &gt; 0,05       &amp;       CRTL : p = 0,244 &gt; 0,05 </a:t>
          </a: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Comme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p &gt; 0,05</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on ne rejette pas la normalité donc :</a:t>
          </a: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Les deux distributions sont compatibles avec une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distribution normale</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a:t>
          </a: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Les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2 séries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sont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non-appariées</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ainsi un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test t de Student pour échantillons indépendants</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sera utilisé afin de comparer les deux groupes.</a:t>
          </a:r>
        </a:p>
        <a:p>
          <a:pPr algn="l">
            <a:lnSpc>
              <a:spcPct val="100000"/>
            </a:lnSpc>
          </a:pPr>
          <a:endParaRPr lang="fr-FR" sz="4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endParaRP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Un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test d'homogénéité des variances </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est réalisé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afin d'orienter le t test. </a:t>
          </a: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En l'occurence,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p</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 0,505 et est donc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&gt; 0,05</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Ainsi, on ne rejette pas l'égalité des variances.</a:t>
          </a: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Nous pouvons donc réaliser un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 test à variance égale</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a:t>
          </a:r>
        </a:p>
        <a:p>
          <a:pPr algn="l">
            <a:lnSpc>
              <a:spcPct val="100000"/>
            </a:lnSpc>
          </a:pPr>
          <a:endParaRPr lang="fr-FR" sz="4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endParaRP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Le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test t de Student pour échantillons indépendants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a révélé une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différence significative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des variations de performance entre le groupe CORE et le groupe CTRL :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t(20) = −2.79</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et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p = 0.011</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(&lt; 0,05).</a:t>
          </a:r>
          <a:b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b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La taille d’effet </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est</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importante : </a:t>
          </a:r>
          <a:r>
            <a:rPr lang="fr-FR" sz="1100" b="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d = −1.19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avec un IC95% de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[−2.15 ; −0.186]</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ce qui suggère</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un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effet marqué du core-training sur la performance en sprint curviligne</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notamment ici sur le test vers la droite.</a:t>
          </a:r>
        </a:p>
      </xdr:txBody>
    </xdr:sp>
    <xdr:clientData/>
  </xdr:twoCellAnchor>
  <xdr:twoCellAnchor editAs="oneCell">
    <xdr:from>
      <xdr:col>7</xdr:col>
      <xdr:colOff>12472</xdr:colOff>
      <xdr:row>7</xdr:row>
      <xdr:rowOff>43096</xdr:rowOff>
    </xdr:from>
    <xdr:to>
      <xdr:col>11</xdr:col>
      <xdr:colOff>267556</xdr:colOff>
      <xdr:row>31</xdr:row>
      <xdr:rowOff>2184</xdr:rowOff>
    </xdr:to>
    <xdr:pic>
      <xdr:nvPicPr>
        <xdr:cNvPr id="6" name="Image 5">
          <a:extLst>
            <a:ext uri="{FF2B5EF4-FFF2-40B4-BE49-F238E27FC236}">
              <a16:creationId xmlns:a16="http://schemas.microsoft.com/office/drawing/2014/main" id="{03E3D270-356C-6A88-FF47-5C5228C5D8D6}"/>
            </a:ext>
          </a:extLst>
        </xdr:cNvPr>
        <xdr:cNvPicPr>
          <a:picLocks noChangeAspect="1"/>
        </xdr:cNvPicPr>
      </xdr:nvPicPr>
      <xdr:blipFill>
        <a:blip xmlns:r="http://schemas.openxmlformats.org/officeDocument/2006/relationships" r:embed="rId1"/>
        <a:stretch>
          <a:fillRect/>
        </a:stretch>
      </xdr:blipFill>
      <xdr:spPr>
        <a:xfrm>
          <a:off x="4125184" y="1441836"/>
          <a:ext cx="2520208" cy="4353636"/>
        </a:xfrm>
        <a:prstGeom prst="rect">
          <a:avLst/>
        </a:prstGeom>
        <a:ln>
          <a:solidFill>
            <a:sysClr val="windowText" lastClr="000000"/>
          </a:solidFill>
        </a:ln>
      </xdr:spPr>
    </xdr:pic>
    <xdr:clientData/>
  </xdr:twoCellAnchor>
  <xdr:twoCellAnchor>
    <xdr:from>
      <xdr:col>0</xdr:col>
      <xdr:colOff>99189</xdr:colOff>
      <xdr:row>0</xdr:row>
      <xdr:rowOff>46680</xdr:rowOff>
    </xdr:from>
    <xdr:to>
      <xdr:col>0</xdr:col>
      <xdr:colOff>262346</xdr:colOff>
      <xdr:row>1</xdr:row>
      <xdr:rowOff>20683</xdr:rowOff>
    </xdr:to>
    <xdr:sp macro="" textlink="">
      <xdr:nvSpPr>
        <xdr:cNvPr id="3" name="ZoneTexte 2">
          <a:extLst>
            <a:ext uri="{FF2B5EF4-FFF2-40B4-BE49-F238E27FC236}">
              <a16:creationId xmlns:a16="http://schemas.microsoft.com/office/drawing/2014/main" id="{D285E238-8C16-424B-9CF9-C61FE7BACF90}"/>
            </a:ext>
          </a:extLst>
        </xdr:cNvPr>
        <xdr:cNvSpPr txBox="1"/>
      </xdr:nvSpPr>
      <xdr:spPr>
        <a:xfrm>
          <a:off x="99189" y="46680"/>
          <a:ext cx="163157" cy="15906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700" b="1"/>
            <a:t>1</a:t>
          </a:r>
        </a:p>
      </xdr:txBody>
    </xdr:sp>
    <xdr:clientData/>
  </xdr:twoCellAnchor>
  <xdr:twoCellAnchor>
    <xdr:from>
      <xdr:col>20</xdr:col>
      <xdr:colOff>404377</xdr:colOff>
      <xdr:row>0</xdr:row>
      <xdr:rowOff>68219</xdr:rowOff>
    </xdr:from>
    <xdr:to>
      <xdr:col>20</xdr:col>
      <xdr:colOff>602497</xdr:colOff>
      <xdr:row>1</xdr:row>
      <xdr:rowOff>53992</xdr:rowOff>
    </xdr:to>
    <xdr:sp macro="" textlink="">
      <xdr:nvSpPr>
        <xdr:cNvPr id="7" name="ZoneTexte 6">
          <a:extLst>
            <a:ext uri="{FF2B5EF4-FFF2-40B4-BE49-F238E27FC236}">
              <a16:creationId xmlns:a16="http://schemas.microsoft.com/office/drawing/2014/main" id="{EDE02B9D-1D37-4C3A-B053-B933740FC265}"/>
            </a:ext>
          </a:extLst>
        </xdr:cNvPr>
        <xdr:cNvSpPr txBox="1"/>
      </xdr:nvSpPr>
      <xdr:spPr>
        <a:xfrm>
          <a:off x="13445463" y="68219"/>
          <a:ext cx="198120" cy="17083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800" b="1"/>
            <a:t>2</a:t>
          </a:r>
        </a:p>
      </xdr:txBody>
    </xdr:sp>
    <xdr:clientData/>
  </xdr:twoCellAnchor>
  <xdr:twoCellAnchor editAs="oneCell">
    <xdr:from>
      <xdr:col>11</xdr:col>
      <xdr:colOff>394302</xdr:colOff>
      <xdr:row>16</xdr:row>
      <xdr:rowOff>77765</xdr:rowOff>
    </xdr:from>
    <xdr:to>
      <xdr:col>15</xdr:col>
      <xdr:colOff>15997</xdr:colOff>
      <xdr:row>23</xdr:row>
      <xdr:rowOff>97722</xdr:rowOff>
    </xdr:to>
    <xdr:pic>
      <xdr:nvPicPr>
        <xdr:cNvPr id="8" name="Image 7">
          <a:extLst>
            <a:ext uri="{FF2B5EF4-FFF2-40B4-BE49-F238E27FC236}">
              <a16:creationId xmlns:a16="http://schemas.microsoft.com/office/drawing/2014/main" id="{7F5D0F6A-0DA4-5073-E12F-FCBB904788A4}"/>
            </a:ext>
          </a:extLst>
        </xdr:cNvPr>
        <xdr:cNvPicPr>
          <a:picLocks noChangeAspect="1"/>
        </xdr:cNvPicPr>
      </xdr:nvPicPr>
      <xdr:blipFill>
        <a:blip xmlns:r="http://schemas.openxmlformats.org/officeDocument/2006/relationships" r:embed="rId2"/>
        <a:stretch>
          <a:fillRect/>
        </a:stretch>
      </xdr:blipFill>
      <xdr:spPr>
        <a:xfrm>
          <a:off x="6761013" y="2975370"/>
          <a:ext cx="2790010" cy="1293299"/>
        </a:xfrm>
        <a:prstGeom prst="rect">
          <a:avLst/>
        </a:prstGeom>
        <a:ln>
          <a:solidFill>
            <a:sysClr val="windowText" lastClr="000000"/>
          </a:solidFill>
        </a:ln>
      </xdr:spPr>
    </xdr:pic>
    <xdr:clientData/>
  </xdr:twoCellAnchor>
  <xdr:twoCellAnchor editAs="oneCell">
    <xdr:from>
      <xdr:col>11</xdr:col>
      <xdr:colOff>374379</xdr:colOff>
      <xdr:row>24</xdr:row>
      <xdr:rowOff>75286</xdr:rowOff>
    </xdr:from>
    <xdr:to>
      <xdr:col>17</xdr:col>
      <xdr:colOff>272461</xdr:colOff>
      <xdr:row>30</xdr:row>
      <xdr:rowOff>173293</xdr:rowOff>
    </xdr:to>
    <xdr:pic>
      <xdr:nvPicPr>
        <xdr:cNvPr id="10" name="Image 9">
          <a:extLst>
            <a:ext uri="{FF2B5EF4-FFF2-40B4-BE49-F238E27FC236}">
              <a16:creationId xmlns:a16="http://schemas.microsoft.com/office/drawing/2014/main" id="{3B4503E4-6425-0E07-BA68-E6DB85CB9D24}"/>
            </a:ext>
          </a:extLst>
        </xdr:cNvPr>
        <xdr:cNvPicPr>
          <a:picLocks noChangeAspect="1"/>
        </xdr:cNvPicPr>
      </xdr:nvPicPr>
      <xdr:blipFill>
        <a:blip xmlns:r="http://schemas.openxmlformats.org/officeDocument/2006/relationships" r:embed="rId3"/>
        <a:stretch>
          <a:fillRect/>
        </a:stretch>
      </xdr:blipFill>
      <xdr:spPr>
        <a:xfrm>
          <a:off x="6741090" y="4426707"/>
          <a:ext cx="4650555" cy="1180849"/>
        </a:xfrm>
        <a:prstGeom prst="rect">
          <a:avLst/>
        </a:prstGeom>
        <a:ln>
          <a:solidFill>
            <a:sysClr val="windowText" lastClr="000000"/>
          </a:solidFill>
        </a:ln>
      </xdr:spPr>
    </xdr:pic>
    <xdr:clientData/>
  </xdr:twoCellAnchor>
  <xdr:twoCellAnchor>
    <xdr:from>
      <xdr:col>21</xdr:col>
      <xdr:colOff>210552</xdr:colOff>
      <xdr:row>0</xdr:row>
      <xdr:rowOff>112295</xdr:rowOff>
    </xdr:from>
    <xdr:to>
      <xdr:col>26</xdr:col>
      <xdr:colOff>616226</xdr:colOff>
      <xdr:row>16</xdr:row>
      <xdr:rowOff>39756</xdr:rowOff>
    </xdr:to>
    <xdr:graphicFrame macro="">
      <xdr:nvGraphicFramePr>
        <xdr:cNvPr id="11" name="Graphique 10">
          <a:extLst>
            <a:ext uri="{FF2B5EF4-FFF2-40B4-BE49-F238E27FC236}">
              <a16:creationId xmlns:a16="http://schemas.microsoft.com/office/drawing/2014/main" id="{D3DFD5E4-0E73-ACFF-CF90-157424BB3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738327</xdr:colOff>
      <xdr:row>2</xdr:row>
      <xdr:rowOff>158243</xdr:rowOff>
    </xdr:from>
    <xdr:to>
      <xdr:col>24</xdr:col>
      <xdr:colOff>144368</xdr:colOff>
      <xdr:row>3</xdr:row>
      <xdr:rowOff>144015</xdr:rowOff>
    </xdr:to>
    <xdr:sp macro="" textlink="">
      <xdr:nvSpPr>
        <xdr:cNvPr id="15" name="ZoneTexte 14">
          <a:extLst>
            <a:ext uri="{FF2B5EF4-FFF2-40B4-BE49-F238E27FC236}">
              <a16:creationId xmlns:a16="http://schemas.microsoft.com/office/drawing/2014/main" id="{C7FD85DA-5FE9-42BA-A65C-246B1A5F5A1A}"/>
            </a:ext>
          </a:extLst>
        </xdr:cNvPr>
        <xdr:cNvSpPr txBox="1"/>
      </xdr:nvSpPr>
      <xdr:spPr>
        <a:xfrm>
          <a:off x="16120094" y="524476"/>
          <a:ext cx="197576" cy="168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b="1"/>
            <a:t>*</a:t>
          </a:r>
        </a:p>
      </xdr:txBody>
    </xdr:sp>
    <xdr:clientData/>
  </xdr:twoCellAnchor>
  <xdr:twoCellAnchor>
    <xdr:from>
      <xdr:col>23</xdr:col>
      <xdr:colOff>45405</xdr:colOff>
      <xdr:row>3</xdr:row>
      <xdr:rowOff>158925</xdr:rowOff>
    </xdr:from>
    <xdr:to>
      <xdr:col>23</xdr:col>
      <xdr:colOff>45405</xdr:colOff>
      <xdr:row>4</xdr:row>
      <xdr:rowOff>86098</xdr:rowOff>
    </xdr:to>
    <xdr:cxnSp macro="">
      <xdr:nvCxnSpPr>
        <xdr:cNvPr id="17" name="Connecteur droit 16">
          <a:extLst>
            <a:ext uri="{FF2B5EF4-FFF2-40B4-BE49-F238E27FC236}">
              <a16:creationId xmlns:a16="http://schemas.microsoft.com/office/drawing/2014/main" id="{E40FCAD3-C9BA-D49E-FAC2-5BD15948A00A}"/>
            </a:ext>
          </a:extLst>
        </xdr:cNvPr>
        <xdr:cNvCxnSpPr/>
      </xdr:nvCxnSpPr>
      <xdr:spPr>
        <a:xfrm>
          <a:off x="15427172" y="708274"/>
          <a:ext cx="0" cy="11028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50539</xdr:colOff>
      <xdr:row>3</xdr:row>
      <xdr:rowOff>162937</xdr:rowOff>
    </xdr:from>
    <xdr:to>
      <xdr:col>25</xdr:col>
      <xdr:colOff>50539</xdr:colOff>
      <xdr:row>4</xdr:row>
      <xdr:rowOff>101370</xdr:rowOff>
    </xdr:to>
    <xdr:cxnSp macro="">
      <xdr:nvCxnSpPr>
        <xdr:cNvPr id="19" name="Connecteur droit 18">
          <a:extLst>
            <a:ext uri="{FF2B5EF4-FFF2-40B4-BE49-F238E27FC236}">
              <a16:creationId xmlns:a16="http://schemas.microsoft.com/office/drawing/2014/main" id="{8F4F17C8-CC3C-0BFC-0807-DDC456EF7ADB}"/>
            </a:ext>
          </a:extLst>
        </xdr:cNvPr>
        <xdr:cNvCxnSpPr/>
      </xdr:nvCxnSpPr>
      <xdr:spPr>
        <a:xfrm>
          <a:off x="17015376" y="712286"/>
          <a:ext cx="0" cy="12154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41349</xdr:colOff>
      <xdr:row>3</xdr:row>
      <xdr:rowOff>153581</xdr:rowOff>
    </xdr:from>
    <xdr:to>
      <xdr:col>25</xdr:col>
      <xdr:colOff>59070</xdr:colOff>
      <xdr:row>3</xdr:row>
      <xdr:rowOff>159488</xdr:rowOff>
    </xdr:to>
    <xdr:cxnSp macro="">
      <xdr:nvCxnSpPr>
        <xdr:cNvPr id="21" name="Connecteur droit 20">
          <a:extLst>
            <a:ext uri="{FF2B5EF4-FFF2-40B4-BE49-F238E27FC236}">
              <a16:creationId xmlns:a16="http://schemas.microsoft.com/office/drawing/2014/main" id="{96129E61-27BC-AD19-8CD1-8C7522721F08}"/>
            </a:ext>
          </a:extLst>
        </xdr:cNvPr>
        <xdr:cNvCxnSpPr/>
      </xdr:nvCxnSpPr>
      <xdr:spPr>
        <a:xfrm>
          <a:off x="15423116" y="702930"/>
          <a:ext cx="1600791" cy="590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130247</xdr:colOff>
      <xdr:row>17</xdr:row>
      <xdr:rowOff>647</xdr:rowOff>
    </xdr:from>
    <xdr:to>
      <xdr:col>26</xdr:col>
      <xdr:colOff>683656</xdr:colOff>
      <xdr:row>32</xdr:row>
      <xdr:rowOff>145773</xdr:rowOff>
    </xdr:to>
    <xdr:graphicFrame macro="">
      <xdr:nvGraphicFramePr>
        <xdr:cNvPr id="28" name="Graphique 27">
          <a:extLst>
            <a:ext uri="{FF2B5EF4-FFF2-40B4-BE49-F238E27FC236}">
              <a16:creationId xmlns:a16="http://schemas.microsoft.com/office/drawing/2014/main" id="{8A7F2E7B-D4F9-2C79-62F9-429C046C2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370909</xdr:colOff>
      <xdr:row>20</xdr:row>
      <xdr:rowOff>88959</xdr:rowOff>
    </xdr:from>
    <xdr:to>
      <xdr:col>25</xdr:col>
      <xdr:colOff>370909</xdr:colOff>
      <xdr:row>21</xdr:row>
      <xdr:rowOff>27392</xdr:rowOff>
    </xdr:to>
    <xdr:cxnSp macro="">
      <xdr:nvCxnSpPr>
        <xdr:cNvPr id="32" name="Connecteur droit 31">
          <a:extLst>
            <a:ext uri="{FF2B5EF4-FFF2-40B4-BE49-F238E27FC236}">
              <a16:creationId xmlns:a16="http://schemas.microsoft.com/office/drawing/2014/main" id="{ACF98868-976E-4CEC-83BC-19AB598EA80B}"/>
            </a:ext>
          </a:extLst>
        </xdr:cNvPr>
        <xdr:cNvCxnSpPr/>
      </xdr:nvCxnSpPr>
      <xdr:spPr>
        <a:xfrm>
          <a:off x="17269380" y="3692771"/>
          <a:ext cx="0" cy="11772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155526</xdr:colOff>
      <xdr:row>20</xdr:row>
      <xdr:rowOff>85287</xdr:rowOff>
    </xdr:from>
    <xdr:to>
      <xdr:col>23</xdr:col>
      <xdr:colOff>155526</xdr:colOff>
      <xdr:row>21</xdr:row>
      <xdr:rowOff>23720</xdr:rowOff>
    </xdr:to>
    <xdr:cxnSp macro="">
      <xdr:nvCxnSpPr>
        <xdr:cNvPr id="33" name="Connecteur droit 32">
          <a:extLst>
            <a:ext uri="{FF2B5EF4-FFF2-40B4-BE49-F238E27FC236}">
              <a16:creationId xmlns:a16="http://schemas.microsoft.com/office/drawing/2014/main" id="{27A3EDE9-781C-48F0-94A2-7C2827F7B898}"/>
            </a:ext>
          </a:extLst>
        </xdr:cNvPr>
        <xdr:cNvCxnSpPr/>
      </xdr:nvCxnSpPr>
      <xdr:spPr>
        <a:xfrm>
          <a:off x="15476208" y="3689099"/>
          <a:ext cx="0" cy="11772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182601</xdr:colOff>
      <xdr:row>19</xdr:row>
      <xdr:rowOff>95587</xdr:rowOff>
    </xdr:from>
    <xdr:to>
      <xdr:col>24</xdr:col>
      <xdr:colOff>383772</xdr:colOff>
      <xdr:row>20</xdr:row>
      <xdr:rowOff>76210</xdr:rowOff>
    </xdr:to>
    <xdr:sp macro="" textlink="">
      <xdr:nvSpPr>
        <xdr:cNvPr id="34" name="ZoneTexte 33">
          <a:extLst>
            <a:ext uri="{FF2B5EF4-FFF2-40B4-BE49-F238E27FC236}">
              <a16:creationId xmlns:a16="http://schemas.microsoft.com/office/drawing/2014/main" id="{4374B078-260D-40BA-84ED-FC2356FFBEB1}"/>
            </a:ext>
          </a:extLst>
        </xdr:cNvPr>
        <xdr:cNvSpPr txBox="1"/>
      </xdr:nvSpPr>
      <xdr:spPr>
        <a:xfrm>
          <a:off x="16402315" y="3600787"/>
          <a:ext cx="201171" cy="17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1200" b="1"/>
            <a:t>*</a:t>
          </a:r>
        </a:p>
      </xdr:txBody>
    </xdr:sp>
    <xdr:clientData/>
  </xdr:twoCellAnchor>
  <xdr:twoCellAnchor editAs="oneCell">
    <xdr:from>
      <xdr:col>12</xdr:col>
      <xdr:colOff>10438</xdr:colOff>
      <xdr:row>32</xdr:row>
      <xdr:rowOff>10439</xdr:rowOff>
    </xdr:from>
    <xdr:to>
      <xdr:col>17</xdr:col>
      <xdr:colOff>37389</xdr:colOff>
      <xdr:row>40</xdr:row>
      <xdr:rowOff>167014</xdr:rowOff>
    </xdr:to>
    <xdr:pic>
      <xdr:nvPicPr>
        <xdr:cNvPr id="5" name="Image 4">
          <a:extLst>
            <a:ext uri="{FF2B5EF4-FFF2-40B4-BE49-F238E27FC236}">
              <a16:creationId xmlns:a16="http://schemas.microsoft.com/office/drawing/2014/main" id="{D8E7342D-4F65-45A2-F3A9-BE5DFB169237}"/>
            </a:ext>
          </a:extLst>
        </xdr:cNvPr>
        <xdr:cNvPicPr>
          <a:picLocks noChangeAspect="1"/>
        </xdr:cNvPicPr>
      </xdr:nvPicPr>
      <xdr:blipFill>
        <a:blip xmlns:r="http://schemas.openxmlformats.org/officeDocument/2006/relationships" r:embed="rId6"/>
        <a:stretch>
          <a:fillRect/>
        </a:stretch>
      </xdr:blipFill>
      <xdr:spPr>
        <a:xfrm>
          <a:off x="7181589" y="5991617"/>
          <a:ext cx="3993526" cy="157619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0.29975</cdr:x>
      <cdr:y>0.88011</cdr:y>
    </cdr:from>
    <cdr:to>
      <cdr:x>0.41932</cdr:x>
      <cdr:y>0.9589</cdr:y>
    </cdr:to>
    <cdr:sp macro="" textlink="">
      <cdr:nvSpPr>
        <cdr:cNvPr id="2" name="ZoneTexte 1">
          <a:extLst xmlns:a="http://schemas.openxmlformats.org/drawingml/2006/main">
            <a:ext uri="{FF2B5EF4-FFF2-40B4-BE49-F238E27FC236}">
              <a16:creationId xmlns:a16="http://schemas.microsoft.com/office/drawing/2014/main" id="{C7F225DB-80C2-3366-247A-5B36E1975D3D}"/>
            </a:ext>
          </a:extLst>
        </cdr:cNvPr>
        <cdr:cNvSpPr txBox="1"/>
      </cdr:nvSpPr>
      <cdr:spPr>
        <a:xfrm xmlns:a="http://schemas.openxmlformats.org/drawingml/2006/main">
          <a:off x="1375485" y="2610523"/>
          <a:ext cx="548640" cy="2336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kern="1200"/>
            <a:t>CORE</a:t>
          </a:r>
        </a:p>
      </cdr:txBody>
    </cdr:sp>
  </cdr:relSizeAnchor>
  <cdr:relSizeAnchor xmlns:cdr="http://schemas.openxmlformats.org/drawingml/2006/chartDrawing">
    <cdr:from>
      <cdr:x>0.71073</cdr:x>
      <cdr:y>0.87689</cdr:y>
    </cdr:from>
    <cdr:to>
      <cdr:x>0.83029</cdr:x>
      <cdr:y>0.95567</cdr:y>
    </cdr:to>
    <cdr:sp macro="" textlink="">
      <cdr:nvSpPr>
        <cdr:cNvPr id="3" name="ZoneTexte 1">
          <a:extLst xmlns:a="http://schemas.openxmlformats.org/drawingml/2006/main">
            <a:ext uri="{FF2B5EF4-FFF2-40B4-BE49-F238E27FC236}">
              <a16:creationId xmlns:a16="http://schemas.microsoft.com/office/drawing/2014/main" id="{32B77023-FBAD-4E97-0183-64A9E8617D7C}"/>
            </a:ext>
          </a:extLst>
        </cdr:cNvPr>
        <cdr:cNvSpPr txBox="1"/>
      </cdr:nvSpPr>
      <cdr:spPr>
        <a:xfrm xmlns:a="http://schemas.openxmlformats.org/drawingml/2006/main">
          <a:off x="3261360" y="2600960"/>
          <a:ext cx="548640" cy="2336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kern="1200"/>
            <a:t>CRTL</a:t>
          </a:r>
        </a:p>
      </cdr:txBody>
    </cdr:sp>
  </cdr:relSizeAnchor>
  <cdr:relSizeAnchor xmlns:cdr="http://schemas.openxmlformats.org/drawingml/2006/chartDrawing">
    <cdr:from>
      <cdr:x>0.3537</cdr:x>
      <cdr:y>0.2237</cdr:y>
    </cdr:from>
    <cdr:to>
      <cdr:x>0.75282</cdr:x>
      <cdr:y>0.22555</cdr:y>
    </cdr:to>
    <cdr:cxnSp macro="">
      <cdr:nvCxnSpPr>
        <cdr:cNvPr id="4" name="Connecteur droit 3">
          <a:extLst xmlns:a="http://schemas.openxmlformats.org/drawingml/2006/main">
            <a:ext uri="{FF2B5EF4-FFF2-40B4-BE49-F238E27FC236}">
              <a16:creationId xmlns:a16="http://schemas.microsoft.com/office/drawing/2014/main" id="{96129E61-27BC-AD19-8CD1-8C7522721F08}"/>
            </a:ext>
          </a:extLst>
        </cdr:cNvPr>
        <cdr:cNvCxnSpPr/>
      </cdr:nvCxnSpPr>
      <cdr:spPr>
        <a:xfrm xmlns:a="http://schemas.openxmlformats.org/drawingml/2006/main">
          <a:off x="1623925" y="669002"/>
          <a:ext cx="1832407" cy="5543"/>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1</cdr:x>
      <cdr:y>0.2574</cdr:y>
    </cdr:from>
    <cdr:to>
      <cdr:x>1</cdr:x>
      <cdr:y>0.29879</cdr:y>
    </cdr:to>
    <cdr:cxnSp macro="">
      <cdr:nvCxnSpPr>
        <cdr:cNvPr id="7" name="Connecteur droit 6">
          <a:extLst xmlns:a="http://schemas.openxmlformats.org/drawingml/2006/main">
            <a:ext uri="{FF2B5EF4-FFF2-40B4-BE49-F238E27FC236}">
              <a16:creationId xmlns:a16="http://schemas.microsoft.com/office/drawing/2014/main" id="{8F4F17C8-CC3C-0BFC-0807-DDC456EF7ADB}"/>
            </a:ext>
          </a:extLst>
        </cdr:cNvPr>
        <cdr:cNvCxnSpPr/>
      </cdr:nvCxnSpPr>
      <cdr:spPr>
        <a:xfrm xmlns:a="http://schemas.openxmlformats.org/drawingml/2006/main">
          <a:off x="17071285" y="769791"/>
          <a:ext cx="0" cy="123784"/>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87086</xdr:colOff>
      <xdr:row>0</xdr:row>
      <xdr:rowOff>43542</xdr:rowOff>
    </xdr:from>
    <xdr:to>
      <xdr:col>10</xdr:col>
      <xdr:colOff>470710</xdr:colOff>
      <xdr:row>5</xdr:row>
      <xdr:rowOff>93743</xdr:rowOff>
    </xdr:to>
    <xdr:sp macro="" textlink="">
      <xdr:nvSpPr>
        <xdr:cNvPr id="10" name="CustomShape 1">
          <a:extLst>
            <a:ext uri="{FF2B5EF4-FFF2-40B4-BE49-F238E27FC236}">
              <a16:creationId xmlns:a16="http://schemas.microsoft.com/office/drawing/2014/main" id="{47E18F31-E9D3-4010-81A8-00A6AFFB7520}"/>
            </a:ext>
          </a:extLst>
        </xdr:cNvPr>
        <xdr:cNvSpPr/>
      </xdr:nvSpPr>
      <xdr:spPr>
        <a:xfrm>
          <a:off x="87086" y="43542"/>
          <a:ext cx="6153053" cy="975487"/>
        </a:xfrm>
        <a:prstGeom prst="rect">
          <a:avLst/>
        </a:prstGeom>
        <a:solidFill>
          <a:schemeClr val="tx2">
            <a:lumMod val="50000"/>
            <a:lumOff val="50000"/>
          </a:schemeClr>
        </a:solidFill>
        <a:ln w="936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nchor="ctr"/>
        <a:lstStyle/>
        <a:p>
          <a:pPr algn="ctr">
            <a:lnSpc>
              <a:spcPct val="100000"/>
            </a:lnSpc>
          </a:pPr>
          <a:r>
            <a:rPr lang="fr-FR" sz="105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On cherche</a:t>
          </a: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à </a:t>
          </a:r>
          <a:r>
            <a:rPr lang="fr-FR" sz="105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déterminer si le</a:t>
          </a: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core-training a un effet significatif sur la vitesse d'accélération en courbe . </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Pour cela 2 groupes ont été constitués : CTRL et CORE. </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Le temps lors d'une accélération en courbe a été mesurée avant et après 8 semaines de core-training</a:t>
          </a:r>
        </a:p>
        <a:p>
          <a:pPr algn="ctr">
            <a:lnSpc>
              <a:spcPct val="100000"/>
            </a:lnSpc>
          </a:pPr>
          <a:r>
            <a:rPr lang="fr-FR" sz="105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=&gt; répondre à la question : le Core-training a-t-il eu un effet significatif sur la vitesse en courbe ?</a:t>
          </a:r>
          <a:endParaRPr lang="fr-FR" sz="1050" b="0" strike="noStrike" spc="-1">
            <a:solidFill>
              <a:srgbClr val="000000"/>
            </a:solidFill>
            <a:uFill>
              <a:solidFill>
                <a:srgbClr val="FFFFFF"/>
              </a:solidFill>
            </a:uFill>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249712</xdr:colOff>
      <xdr:row>7</xdr:row>
      <xdr:rowOff>10887</xdr:rowOff>
    </xdr:from>
    <xdr:to>
      <xdr:col>10</xdr:col>
      <xdr:colOff>535711</xdr:colOff>
      <xdr:row>30</xdr:row>
      <xdr:rowOff>46844</xdr:rowOff>
    </xdr:to>
    <xdr:pic>
      <xdr:nvPicPr>
        <xdr:cNvPr id="7" name="Image 6">
          <a:extLst>
            <a:ext uri="{FF2B5EF4-FFF2-40B4-BE49-F238E27FC236}">
              <a16:creationId xmlns:a16="http://schemas.microsoft.com/office/drawing/2014/main" id="{BF4DE960-D14F-4C0F-08F2-DCF5E130F988}"/>
            </a:ext>
          </a:extLst>
        </xdr:cNvPr>
        <xdr:cNvPicPr>
          <a:picLocks noChangeAspect="1"/>
        </xdr:cNvPicPr>
      </xdr:nvPicPr>
      <xdr:blipFill>
        <a:blip xmlns:r="http://schemas.openxmlformats.org/officeDocument/2006/relationships" r:embed="rId1"/>
        <a:stretch>
          <a:fillRect/>
        </a:stretch>
      </xdr:blipFill>
      <xdr:spPr>
        <a:xfrm>
          <a:off x="3733141" y="1371601"/>
          <a:ext cx="2571999" cy="4205186"/>
        </a:xfrm>
        <a:prstGeom prst="rect">
          <a:avLst/>
        </a:prstGeom>
        <a:ln>
          <a:solidFill>
            <a:sysClr val="windowText" lastClr="000000"/>
          </a:solidFill>
        </a:ln>
      </xdr:spPr>
    </xdr:pic>
    <xdr:clientData/>
  </xdr:twoCellAnchor>
  <xdr:twoCellAnchor editAs="oneCell">
    <xdr:from>
      <xdr:col>11</xdr:col>
      <xdr:colOff>315685</xdr:colOff>
      <xdr:row>0</xdr:row>
      <xdr:rowOff>65314</xdr:rowOff>
    </xdr:from>
    <xdr:to>
      <xdr:col>20</xdr:col>
      <xdr:colOff>185057</xdr:colOff>
      <xdr:row>12</xdr:row>
      <xdr:rowOff>76201</xdr:rowOff>
    </xdr:to>
    <xdr:sp macro="" textlink="">
      <xdr:nvSpPr>
        <xdr:cNvPr id="5" name="CustomShape 1">
          <a:extLst>
            <a:ext uri="{FF2B5EF4-FFF2-40B4-BE49-F238E27FC236}">
              <a16:creationId xmlns:a16="http://schemas.microsoft.com/office/drawing/2014/main" id="{0D1CF5C0-CC0C-431F-8D5F-D0B739738684}"/>
            </a:ext>
          </a:extLst>
        </xdr:cNvPr>
        <xdr:cNvSpPr/>
      </xdr:nvSpPr>
      <xdr:spPr>
        <a:xfrm>
          <a:off x="6629399" y="65314"/>
          <a:ext cx="7021287" cy="2198916"/>
        </a:xfrm>
        <a:prstGeom prst="rect">
          <a:avLst/>
        </a:prstGeom>
        <a:solidFill>
          <a:schemeClr val="accent2">
            <a:lumMod val="20000"/>
            <a:lumOff val="80000"/>
          </a:schemeClr>
        </a:solidFill>
        <a:ln w="936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nchor="t"/>
        <a:lstStyle/>
        <a:p>
          <a:pPr algn="l">
            <a:lnSpc>
              <a:spcPct val="100000"/>
            </a:lnSpc>
          </a:pPr>
          <a:r>
            <a:rPr lang="fr-FR" sz="1100" b="1" u="sng" strike="noStrike" spc="-1">
              <a:solidFill>
                <a:srgbClr val="000000"/>
              </a:solidFill>
              <a:uFill>
                <a:solidFill>
                  <a:srgbClr val="FFFFFF"/>
                </a:solidFill>
              </a:uFill>
              <a:latin typeface="Times New Roman"/>
            </a:rPr>
            <a:t>Démarche :</a:t>
          </a:r>
        </a:p>
        <a:p>
          <a:pPr algn="l">
            <a:lnSpc>
              <a:spcPct val="100000"/>
            </a:lnSpc>
          </a:pPr>
          <a:r>
            <a:rPr lang="fr-FR">
              <a:latin typeface="Times New Roman" panose="02020603050405020304" pitchFamily="18" charset="0"/>
              <a:ea typeface="Calibri" panose="020F0502020204030204" pitchFamily="34" charset="0"/>
              <a:cs typeface="Times New Roman" panose="02020603050405020304" pitchFamily="18" charset="0"/>
            </a:rPr>
            <a:t>Même</a:t>
          </a:r>
          <a:r>
            <a:rPr lang="fr-FR" baseline="0">
              <a:latin typeface="Times New Roman" panose="02020603050405020304" pitchFamily="18" charset="0"/>
              <a:ea typeface="Calibri" panose="020F0502020204030204" pitchFamily="34" charset="0"/>
              <a:cs typeface="Times New Roman" panose="02020603050405020304" pitchFamily="18" charset="0"/>
            </a:rPr>
            <a:t> démarche avec le </a:t>
          </a:r>
          <a:r>
            <a:rPr lang="fr-FR" b="1" i="1" baseline="0">
              <a:latin typeface="Times New Roman" panose="02020603050405020304" pitchFamily="18" charset="0"/>
              <a:ea typeface="Calibri" panose="020F0502020204030204" pitchFamily="34" charset="0"/>
              <a:cs typeface="Times New Roman" panose="02020603050405020304" pitchFamily="18" charset="0"/>
            </a:rPr>
            <a:t>test de Shapiro-Wilk </a:t>
          </a:r>
          <a:r>
            <a:rPr lang="fr-FR" baseline="0">
              <a:latin typeface="Times New Roman" panose="02020603050405020304" pitchFamily="18" charset="0"/>
              <a:ea typeface="Calibri" panose="020F0502020204030204" pitchFamily="34" charset="0"/>
              <a:cs typeface="Times New Roman" panose="02020603050405020304" pitchFamily="18" charset="0"/>
            </a:rPr>
            <a:t>:</a:t>
          </a:r>
        </a:p>
        <a:p>
          <a:pPr algn="l">
            <a:lnSpc>
              <a:spcPct val="100000"/>
            </a:lnSpc>
          </a:pPr>
          <a:r>
            <a:rPr lang="fr-FR">
              <a:latin typeface="Times New Roman" panose="02020603050405020304" pitchFamily="18" charset="0"/>
              <a:ea typeface="Calibri" panose="020F0502020204030204" pitchFamily="34" charset="0"/>
              <a:cs typeface="Times New Roman" panose="02020603050405020304" pitchFamily="18" charset="0"/>
            </a:rPr>
            <a:t>Core</a:t>
          </a:r>
          <a:r>
            <a:rPr lang="fr-FR" baseline="0">
              <a:latin typeface="Times New Roman" panose="02020603050405020304" pitchFamily="18" charset="0"/>
              <a:ea typeface="Calibri" panose="020F0502020204030204" pitchFamily="34" charset="0"/>
              <a:cs typeface="Times New Roman" panose="02020603050405020304" pitchFamily="18" charset="0"/>
            </a:rPr>
            <a:t> : p = 0,047 &lt; 0,05         &amp;       CRTL : p = 0,965 &gt; 0,05</a:t>
          </a:r>
          <a:endParaRPr lang="fr-FR">
            <a:latin typeface="Times New Roman" panose="02020603050405020304" pitchFamily="18" charset="0"/>
            <a:ea typeface="Calibri" panose="020F0502020204030204" pitchFamily="34" charset="0"/>
            <a:cs typeface="Times New Roman" panose="02020603050405020304" pitchFamily="18" charset="0"/>
          </a:endParaRPr>
        </a:p>
        <a:p>
          <a:pPr algn="l">
            <a:lnSpc>
              <a:spcPct val="100000"/>
            </a:lnSpc>
          </a:pPr>
          <a:r>
            <a:rPr lang="fr-FR">
              <a:latin typeface="Times New Roman" panose="02020603050405020304" pitchFamily="18" charset="0"/>
              <a:ea typeface="Calibri" panose="020F0502020204030204" pitchFamily="34" charset="0"/>
              <a:cs typeface="Times New Roman" panose="02020603050405020304" pitchFamily="18" charset="0"/>
            </a:rPr>
            <a:t>Pour le groupe Core,</a:t>
          </a:r>
          <a:r>
            <a:rPr lang="fr-FR" baseline="0">
              <a:latin typeface="Times New Roman" panose="02020603050405020304" pitchFamily="18" charset="0"/>
              <a:ea typeface="Calibri" panose="020F0502020204030204" pitchFamily="34" charset="0"/>
              <a:cs typeface="Times New Roman" panose="02020603050405020304" pitchFamily="18" charset="0"/>
            </a:rPr>
            <a:t> la normalité est rejetée (</a:t>
          </a:r>
          <a:r>
            <a:rPr lang="fr-FR" b="1" i="1" baseline="0">
              <a:latin typeface="Times New Roman" panose="02020603050405020304" pitchFamily="18" charset="0"/>
              <a:ea typeface="Calibri" panose="020F0502020204030204" pitchFamily="34" charset="0"/>
              <a:cs typeface="Times New Roman" panose="02020603050405020304" pitchFamily="18" charset="0"/>
            </a:rPr>
            <a:t>p-value &lt; 0,05</a:t>
          </a:r>
          <a:r>
            <a:rPr lang="fr-FR" baseline="0">
              <a:latin typeface="Times New Roman" panose="02020603050405020304" pitchFamily="18" charset="0"/>
              <a:ea typeface="Calibri" panose="020F0502020204030204" pitchFamily="34" charset="0"/>
              <a:cs typeface="Times New Roman" panose="02020603050405020304" pitchFamily="18" charset="0"/>
            </a:rPr>
            <a:t>), la </a:t>
          </a:r>
          <a:r>
            <a:rPr lang="fr-FR" b="1" i="1" baseline="0">
              <a:latin typeface="Times New Roman" panose="02020603050405020304" pitchFamily="18" charset="0"/>
              <a:ea typeface="Calibri" panose="020F0502020204030204" pitchFamily="34" charset="0"/>
              <a:cs typeface="Times New Roman" panose="02020603050405020304" pitchFamily="18" charset="0"/>
            </a:rPr>
            <a:t>distribution</a:t>
          </a:r>
          <a:r>
            <a:rPr lang="fr-FR" baseline="0">
              <a:latin typeface="Times New Roman" panose="02020603050405020304" pitchFamily="18" charset="0"/>
              <a:ea typeface="Calibri" panose="020F0502020204030204" pitchFamily="34" charset="0"/>
              <a:cs typeface="Times New Roman" panose="02020603050405020304" pitchFamily="18" charset="0"/>
            </a:rPr>
            <a:t> est considérée comme </a:t>
          </a:r>
          <a:r>
            <a:rPr lang="fr-FR" b="1" i="1" baseline="0">
              <a:latin typeface="Times New Roman" panose="02020603050405020304" pitchFamily="18" charset="0"/>
              <a:ea typeface="Calibri" panose="020F0502020204030204" pitchFamily="34" charset="0"/>
              <a:cs typeface="Times New Roman" panose="02020603050405020304" pitchFamily="18" charset="0"/>
            </a:rPr>
            <a:t>anormale</a:t>
          </a:r>
          <a:r>
            <a:rPr lang="fr-FR" baseline="0">
              <a:latin typeface="Times New Roman" panose="02020603050405020304" pitchFamily="18" charset="0"/>
              <a:ea typeface="Calibri" panose="020F0502020204030204" pitchFamily="34" charset="0"/>
              <a:cs typeface="Times New Roman" panose="02020603050405020304" pitchFamily="18" charset="0"/>
            </a:rPr>
            <a:t>,</a:t>
          </a:r>
        </a:p>
        <a:p>
          <a:pPr algn="l">
            <a:lnSpc>
              <a:spcPct val="100000"/>
            </a:lnSpc>
          </a:pPr>
          <a:r>
            <a:rPr lang="fr-FR" baseline="0">
              <a:latin typeface="Times New Roman" panose="02020603050405020304" pitchFamily="18" charset="0"/>
              <a:ea typeface="Calibri" panose="020F0502020204030204" pitchFamily="34" charset="0"/>
              <a:cs typeface="Times New Roman" panose="02020603050405020304" pitchFamily="18" charset="0"/>
            </a:rPr>
            <a:t>Tandis que pour le groupe CRTL, la normalité n'est pas rejetée (</a:t>
          </a:r>
          <a:r>
            <a:rPr lang="fr-FR" b="1" i="1" baseline="0">
              <a:latin typeface="Times New Roman" panose="02020603050405020304" pitchFamily="18" charset="0"/>
              <a:ea typeface="Calibri" panose="020F0502020204030204" pitchFamily="34" charset="0"/>
              <a:cs typeface="Times New Roman" panose="02020603050405020304" pitchFamily="18" charset="0"/>
            </a:rPr>
            <a:t>p-value &gt; 0,05</a:t>
          </a:r>
          <a:r>
            <a:rPr lang="fr-FR" baseline="0">
              <a:latin typeface="Times New Roman" panose="02020603050405020304" pitchFamily="18" charset="0"/>
              <a:ea typeface="Calibri" panose="020F0502020204030204" pitchFamily="34" charset="0"/>
              <a:cs typeface="Times New Roman" panose="02020603050405020304" pitchFamily="18" charset="0"/>
            </a:rPr>
            <a:t>). La </a:t>
          </a:r>
          <a:r>
            <a:rPr lang="fr-FR" b="1" i="1" baseline="0">
              <a:latin typeface="Times New Roman" panose="02020603050405020304" pitchFamily="18" charset="0"/>
              <a:ea typeface="Calibri" panose="020F0502020204030204" pitchFamily="34" charset="0"/>
              <a:cs typeface="Times New Roman" panose="02020603050405020304" pitchFamily="18" charset="0"/>
            </a:rPr>
            <a:t>distribution</a:t>
          </a:r>
          <a:r>
            <a:rPr lang="fr-FR" baseline="0">
              <a:latin typeface="Times New Roman" panose="02020603050405020304" pitchFamily="18" charset="0"/>
              <a:ea typeface="Calibri" panose="020F0502020204030204" pitchFamily="34" charset="0"/>
              <a:cs typeface="Times New Roman" panose="02020603050405020304" pitchFamily="18" charset="0"/>
            </a:rPr>
            <a:t> est vue comme </a:t>
          </a:r>
          <a:r>
            <a:rPr lang="fr-FR" b="1" i="1" baseline="0">
              <a:latin typeface="Times New Roman" panose="02020603050405020304" pitchFamily="18" charset="0"/>
              <a:ea typeface="Calibri" panose="020F0502020204030204" pitchFamily="34" charset="0"/>
              <a:cs typeface="Times New Roman" panose="02020603050405020304" pitchFamily="18" charset="0"/>
            </a:rPr>
            <a:t>normale</a:t>
          </a:r>
          <a:r>
            <a:rPr lang="fr-FR" baseline="0">
              <a:latin typeface="Times New Roman" panose="02020603050405020304" pitchFamily="18" charset="0"/>
              <a:ea typeface="Calibri" panose="020F0502020204030204" pitchFamily="34" charset="0"/>
              <a:cs typeface="Times New Roman" panose="02020603050405020304" pitchFamily="18" charset="0"/>
            </a:rPr>
            <a:t>.</a:t>
          </a: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Comme l'une des deux distributions n'est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pas compatible avec une distribution normale</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nous devons réaliser un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test non-paramétrique</a:t>
          </a:r>
          <a:r>
            <a:rPr lang="fr-FR" sz="1100" b="1"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a:t>
          </a:r>
          <a:endParaRPr lang="fr-FR" sz="1100" b="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endParaRP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Les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2 séries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sont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non-appariées</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ainsi un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test U de Mann-Whitney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sera utilisé afin de comparer les deux groupes.</a:t>
          </a:r>
        </a:p>
        <a:p>
          <a:pPr algn="l">
            <a:lnSpc>
              <a:spcPct val="100000"/>
            </a:lnSpc>
          </a:pPr>
          <a:endParaRPr lang="fr-FR" sz="4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endParaRPr>
        </a:p>
        <a:p>
          <a:pPr algn="l">
            <a:lnSpc>
              <a:spcPct val="100000"/>
            </a:lnSpc>
          </a:pPr>
          <a:endParaRPr lang="fr-FR" sz="4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endParaRPr>
        </a:p>
        <a:p>
          <a:pPr algn="l">
            <a:lnSpc>
              <a:spcPct val="100000"/>
            </a:lnSpc>
          </a:pP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Le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test U de Mann-Withney pour échantillons indépendants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a révélé une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différence non-significative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des variations de performance entre le groupe CORE et le groupe CTRL : U = 47 et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p = 0.393</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(&gt; 0,05).</a:t>
          </a:r>
          <a:b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b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La taille d’effet </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est faible</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 0,223 </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ce qui suggère</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une </a:t>
          </a:r>
          <a:r>
            <a:rPr lang="fr-FR" sz="1100" b="1" i="1"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tendance d'effet  du core-training sur la performance en sprint curviligne</a:t>
          </a:r>
          <a:r>
            <a:rPr lang="fr-FR" sz="1100" b="0" i="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 </a:t>
          </a:r>
          <a:r>
            <a:rPr lang="fr-FR" sz="1100" b="0" u="none" strike="noStrike" spc="-1" baseline="0">
              <a:solidFill>
                <a:srgbClr val="000000"/>
              </a:solidFill>
              <a:uFill>
                <a:solidFill>
                  <a:srgbClr val="FFFFFF"/>
                </a:solidFill>
              </a:uFill>
              <a:latin typeface="Times New Roman" panose="02020603050405020304" pitchFamily="18" charset="0"/>
              <a:ea typeface="Calibri" panose="020F0502020204030204" pitchFamily="34" charset="0"/>
              <a:cs typeface="Times New Roman" panose="02020603050405020304" pitchFamily="18" charset="0"/>
            </a:rPr>
            <a:t>sur le test vers la droite. Mais cela n'est pas statistiquement significatif pour l'affirmer.</a:t>
          </a:r>
        </a:p>
      </xdr:txBody>
    </xdr:sp>
    <xdr:clientData/>
  </xdr:twoCellAnchor>
  <xdr:twoCellAnchor>
    <xdr:from>
      <xdr:col>0</xdr:col>
      <xdr:colOff>97970</xdr:colOff>
      <xdr:row>0</xdr:row>
      <xdr:rowOff>54430</xdr:rowOff>
    </xdr:from>
    <xdr:to>
      <xdr:col>0</xdr:col>
      <xdr:colOff>261127</xdr:colOff>
      <xdr:row>1</xdr:row>
      <xdr:rowOff>28433</xdr:rowOff>
    </xdr:to>
    <xdr:sp macro="" textlink="">
      <xdr:nvSpPr>
        <xdr:cNvPr id="9" name="ZoneTexte 8">
          <a:extLst>
            <a:ext uri="{FF2B5EF4-FFF2-40B4-BE49-F238E27FC236}">
              <a16:creationId xmlns:a16="http://schemas.microsoft.com/office/drawing/2014/main" id="{9C92D884-F6AE-4DA4-AE59-86405FE95FA2}"/>
            </a:ext>
          </a:extLst>
        </xdr:cNvPr>
        <xdr:cNvSpPr txBox="1"/>
      </xdr:nvSpPr>
      <xdr:spPr>
        <a:xfrm>
          <a:off x="97970" y="54430"/>
          <a:ext cx="163157" cy="15906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700" b="1"/>
            <a:t>1</a:t>
          </a:r>
        </a:p>
      </xdr:txBody>
    </xdr:sp>
    <xdr:clientData/>
  </xdr:twoCellAnchor>
  <xdr:twoCellAnchor editAs="oneCell">
    <xdr:from>
      <xdr:col>11</xdr:col>
      <xdr:colOff>337458</xdr:colOff>
      <xdr:row>13</xdr:row>
      <xdr:rowOff>21771</xdr:rowOff>
    </xdr:from>
    <xdr:to>
      <xdr:col>18</xdr:col>
      <xdr:colOff>612284</xdr:colOff>
      <xdr:row>19</xdr:row>
      <xdr:rowOff>39286</xdr:rowOff>
    </xdr:to>
    <xdr:pic>
      <xdr:nvPicPr>
        <xdr:cNvPr id="12" name="Image 11">
          <a:extLst>
            <a:ext uri="{FF2B5EF4-FFF2-40B4-BE49-F238E27FC236}">
              <a16:creationId xmlns:a16="http://schemas.microsoft.com/office/drawing/2014/main" id="{91A45C70-FE33-BDBC-1E70-B01436C79695}"/>
            </a:ext>
          </a:extLst>
        </xdr:cNvPr>
        <xdr:cNvPicPr>
          <a:picLocks noChangeAspect="1"/>
        </xdr:cNvPicPr>
      </xdr:nvPicPr>
      <xdr:blipFill>
        <a:blip xmlns:r="http://schemas.openxmlformats.org/officeDocument/2006/relationships" r:embed="rId2"/>
        <a:stretch>
          <a:fillRect/>
        </a:stretch>
      </xdr:blipFill>
      <xdr:spPr>
        <a:xfrm>
          <a:off x="6651172" y="2394857"/>
          <a:ext cx="5837426" cy="1127858"/>
        </a:xfrm>
        <a:prstGeom prst="rect">
          <a:avLst/>
        </a:prstGeom>
        <a:ln>
          <a:solidFill>
            <a:sysClr val="windowText" lastClr="000000"/>
          </a:solidFill>
        </a:ln>
      </xdr:spPr>
    </xdr:pic>
    <xdr:clientData/>
  </xdr:twoCellAnchor>
  <xdr:twoCellAnchor>
    <xdr:from>
      <xdr:col>12</xdr:col>
      <xdr:colOff>32657</xdr:colOff>
      <xdr:row>20</xdr:row>
      <xdr:rowOff>16329</xdr:rowOff>
    </xdr:from>
    <xdr:to>
      <xdr:col>17</xdr:col>
      <xdr:colOff>54429</xdr:colOff>
      <xdr:row>34</xdr:row>
      <xdr:rowOff>136071</xdr:rowOff>
    </xdr:to>
    <xdr:graphicFrame macro="">
      <xdr:nvGraphicFramePr>
        <xdr:cNvPr id="13" name="Graphique 12">
          <a:extLst>
            <a:ext uri="{FF2B5EF4-FFF2-40B4-BE49-F238E27FC236}">
              <a16:creationId xmlns:a16="http://schemas.microsoft.com/office/drawing/2014/main" id="{E42A2C94-CBA8-40BF-64AE-4A060BE71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315686</xdr:colOff>
      <xdr:row>23</xdr:row>
      <xdr:rowOff>2</xdr:rowOff>
    </xdr:from>
    <xdr:to>
      <xdr:col>14</xdr:col>
      <xdr:colOff>163286</xdr:colOff>
      <xdr:row>24</xdr:row>
      <xdr:rowOff>54431</xdr:rowOff>
    </xdr:to>
    <xdr:sp macro="" textlink="">
      <xdr:nvSpPr>
        <xdr:cNvPr id="14" name="ZoneTexte 13">
          <a:extLst>
            <a:ext uri="{FF2B5EF4-FFF2-40B4-BE49-F238E27FC236}">
              <a16:creationId xmlns:a16="http://schemas.microsoft.com/office/drawing/2014/main" id="{D8D33327-E494-E3D3-4652-754011BB5461}"/>
            </a:ext>
          </a:extLst>
        </xdr:cNvPr>
        <xdr:cNvSpPr txBox="1"/>
      </xdr:nvSpPr>
      <xdr:spPr>
        <a:xfrm>
          <a:off x="8218715" y="4234545"/>
          <a:ext cx="642257" cy="2394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 Core </a:t>
          </a:r>
        </a:p>
      </xdr:txBody>
    </xdr:sp>
    <xdr:clientData/>
  </xdr:twoCellAnchor>
  <xdr:twoCellAnchor>
    <xdr:from>
      <xdr:col>18</xdr:col>
      <xdr:colOff>76200</xdr:colOff>
      <xdr:row>20</xdr:row>
      <xdr:rowOff>16330</xdr:rowOff>
    </xdr:from>
    <xdr:to>
      <xdr:col>23</xdr:col>
      <xdr:colOff>674914</xdr:colOff>
      <xdr:row>34</xdr:row>
      <xdr:rowOff>136072</xdr:rowOff>
    </xdr:to>
    <xdr:graphicFrame macro="">
      <xdr:nvGraphicFramePr>
        <xdr:cNvPr id="16" name="Graphique 15">
          <a:extLst>
            <a:ext uri="{FF2B5EF4-FFF2-40B4-BE49-F238E27FC236}">
              <a16:creationId xmlns:a16="http://schemas.microsoft.com/office/drawing/2014/main" id="{88BB5FA2-66C9-F6B9-1336-413CDEA53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771895</xdr:colOff>
      <xdr:row>0</xdr:row>
      <xdr:rowOff>108857</xdr:rowOff>
    </xdr:from>
    <xdr:to>
      <xdr:col>20</xdr:col>
      <xdr:colOff>178327</xdr:colOff>
      <xdr:row>1</xdr:row>
      <xdr:rowOff>101557</xdr:rowOff>
    </xdr:to>
    <xdr:sp macro="" textlink="">
      <xdr:nvSpPr>
        <xdr:cNvPr id="19" name="ZoneTexte 18">
          <a:extLst>
            <a:ext uri="{FF2B5EF4-FFF2-40B4-BE49-F238E27FC236}">
              <a16:creationId xmlns:a16="http://schemas.microsoft.com/office/drawing/2014/main" id="{55CC5E12-2990-4918-921A-9E592E3E11EC}"/>
            </a:ext>
          </a:extLst>
        </xdr:cNvPr>
        <xdr:cNvSpPr txBox="1"/>
      </xdr:nvSpPr>
      <xdr:spPr>
        <a:xfrm>
          <a:off x="13419116" y="108857"/>
          <a:ext cx="198120" cy="17083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fr-FR" sz="800" b="1"/>
            <a:t>2</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0.2881</cdr:x>
      <cdr:y>0.22024</cdr:y>
    </cdr:from>
    <cdr:to>
      <cdr:x>0.4381</cdr:x>
      <cdr:y>0.29167</cdr:y>
    </cdr:to>
    <cdr:sp macro="" textlink="">
      <cdr:nvSpPr>
        <cdr:cNvPr id="2" name="ZoneTexte 1">
          <a:extLst xmlns:a="http://schemas.openxmlformats.org/drawingml/2006/main">
            <a:ext uri="{FF2B5EF4-FFF2-40B4-BE49-F238E27FC236}">
              <a16:creationId xmlns:a16="http://schemas.microsoft.com/office/drawing/2014/main" id="{3F2EDF1E-7591-7AAF-F34C-CF7E37A2185F}"/>
            </a:ext>
          </a:extLst>
        </cdr:cNvPr>
        <cdr:cNvSpPr txBox="1"/>
      </cdr:nvSpPr>
      <cdr:spPr>
        <a:xfrm xmlns:a="http://schemas.openxmlformats.org/drawingml/2006/main">
          <a:off x="1317171" y="604157"/>
          <a:ext cx="685800" cy="1959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kern="1200"/>
        </a:p>
      </cdr:txBody>
    </cdr:sp>
  </cdr:relSizeAnchor>
  <cdr:relSizeAnchor xmlns:cdr="http://schemas.openxmlformats.org/drawingml/2006/chartDrawing">
    <cdr:from>
      <cdr:x>0.68402</cdr:x>
      <cdr:y>0.20106</cdr:y>
    </cdr:from>
    <cdr:to>
      <cdr:x>0.85014</cdr:x>
      <cdr:y>0.27579</cdr:y>
    </cdr:to>
    <cdr:sp macro="" textlink="">
      <cdr:nvSpPr>
        <cdr:cNvPr id="3" name="ZoneTexte 13">
          <a:extLst xmlns:a="http://schemas.openxmlformats.org/drawingml/2006/main">
            <a:ext uri="{FF2B5EF4-FFF2-40B4-BE49-F238E27FC236}">
              <a16:creationId xmlns:a16="http://schemas.microsoft.com/office/drawing/2014/main" id="{D8D33327-E494-E3D3-4652-754011BB5461}"/>
            </a:ext>
          </a:extLst>
        </cdr:cNvPr>
        <cdr:cNvSpPr txBox="1"/>
      </cdr:nvSpPr>
      <cdr:spPr>
        <a:xfrm xmlns:a="http://schemas.openxmlformats.org/drawingml/2006/main">
          <a:off x="2732694" y="551543"/>
          <a:ext cx="663650" cy="20501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fr-FR" sz="1100"/>
            <a:t>▲ CRTL </a:t>
          </a:r>
        </a:p>
      </cdr:txBody>
    </cdr:sp>
  </cdr:relSizeAnchor>
</c:userShapes>
</file>

<file path=xl/drawings/drawing6.xml><?xml version="1.0" encoding="utf-8"?>
<c:userShapes xmlns:c="http://schemas.openxmlformats.org/drawingml/2006/chart">
  <cdr:relSizeAnchor xmlns:cdr="http://schemas.openxmlformats.org/drawingml/2006/chartDrawing">
    <cdr:from>
      <cdr:x>0.36111</cdr:x>
      <cdr:y>0.8955</cdr:y>
    </cdr:from>
    <cdr:to>
      <cdr:x>0.47949</cdr:x>
      <cdr:y>0.98033</cdr:y>
    </cdr:to>
    <cdr:sp macro="" textlink="">
      <cdr:nvSpPr>
        <cdr:cNvPr id="3" name="ZoneTexte 1">
          <a:extLst xmlns:a="http://schemas.openxmlformats.org/drawingml/2006/main">
            <a:ext uri="{FF2B5EF4-FFF2-40B4-BE49-F238E27FC236}">
              <a16:creationId xmlns:a16="http://schemas.microsoft.com/office/drawing/2014/main" id="{B017FFDA-8310-BC3E-7764-36DC2078CEF0}"/>
            </a:ext>
          </a:extLst>
        </cdr:cNvPr>
        <cdr:cNvSpPr txBox="1"/>
      </cdr:nvSpPr>
      <cdr:spPr>
        <a:xfrm xmlns:a="http://schemas.openxmlformats.org/drawingml/2006/main">
          <a:off x="1651000" y="2456542"/>
          <a:ext cx="541222" cy="2326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kern="1200"/>
            <a:t>CORE</a:t>
          </a:r>
        </a:p>
      </cdr:txBody>
    </cdr:sp>
  </cdr:relSizeAnchor>
  <cdr:relSizeAnchor xmlns:cdr="http://schemas.openxmlformats.org/drawingml/2006/chartDrawing">
    <cdr:from>
      <cdr:x>0.69683</cdr:x>
      <cdr:y>0.8955</cdr:y>
    </cdr:from>
    <cdr:to>
      <cdr:x>0.8152</cdr:x>
      <cdr:y>0.98033</cdr:y>
    </cdr:to>
    <cdr:sp macro="" textlink="">
      <cdr:nvSpPr>
        <cdr:cNvPr id="5" name="ZoneTexte 1">
          <a:extLst xmlns:a="http://schemas.openxmlformats.org/drawingml/2006/main">
            <a:ext uri="{FF2B5EF4-FFF2-40B4-BE49-F238E27FC236}">
              <a16:creationId xmlns:a16="http://schemas.microsoft.com/office/drawing/2014/main" id="{733E4285-3051-426F-00FF-99583A31B845}"/>
            </a:ext>
          </a:extLst>
        </cdr:cNvPr>
        <cdr:cNvSpPr txBox="1"/>
      </cdr:nvSpPr>
      <cdr:spPr>
        <a:xfrm xmlns:a="http://schemas.openxmlformats.org/drawingml/2006/main">
          <a:off x="3185886" y="2456543"/>
          <a:ext cx="541222" cy="2326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kern="1200"/>
            <a:t>CRTL</a:t>
          </a:r>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12700</xdr:colOff>
      <xdr:row>0</xdr:row>
      <xdr:rowOff>6351</xdr:rowOff>
    </xdr:from>
    <xdr:to>
      <xdr:col>5</xdr:col>
      <xdr:colOff>730250</xdr:colOff>
      <xdr:row>2</xdr:row>
      <xdr:rowOff>133350</xdr:rowOff>
    </xdr:to>
    <xdr:sp macro="" textlink="">
      <xdr:nvSpPr>
        <xdr:cNvPr id="2" name="CustomShape 1">
          <a:extLst>
            <a:ext uri="{FF2B5EF4-FFF2-40B4-BE49-F238E27FC236}">
              <a16:creationId xmlns:a16="http://schemas.microsoft.com/office/drawing/2014/main" id="{25A25ED9-D3C6-45B9-995F-98D4DE88C5DA}"/>
            </a:ext>
          </a:extLst>
        </xdr:cNvPr>
        <xdr:cNvSpPr/>
      </xdr:nvSpPr>
      <xdr:spPr>
        <a:xfrm>
          <a:off x="12700" y="6351"/>
          <a:ext cx="4686300" cy="495299"/>
        </a:xfrm>
        <a:prstGeom prst="rect">
          <a:avLst/>
        </a:prstGeom>
        <a:solidFill>
          <a:schemeClr val="tx2">
            <a:lumMod val="50000"/>
            <a:lumOff val="50000"/>
          </a:schemeClr>
        </a:solidFill>
        <a:ln w="936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nchor="ctr"/>
        <a:lstStyle/>
        <a:p>
          <a:pPr algn="ctr">
            <a:lnSpc>
              <a:spcPct val="100000"/>
            </a:lnSpc>
          </a:pPr>
          <a:r>
            <a:rPr lang="fr-FR" sz="80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On cherche</a:t>
          </a:r>
          <a:r>
            <a:rPr lang="fr-FR" sz="80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à </a:t>
          </a:r>
          <a:r>
            <a:rPr lang="fr-FR" sz="800" b="1" strike="noStrike" spc="-1">
              <a:solidFill>
                <a:srgbClr val="000000"/>
              </a:solidFill>
              <a:uFill>
                <a:solidFill>
                  <a:srgbClr val="FFFFFF"/>
                </a:solidFill>
              </a:uFill>
              <a:latin typeface="Times New Roman" panose="02020603050405020304" pitchFamily="18" charset="0"/>
              <a:cs typeface="Times New Roman" panose="02020603050405020304" pitchFamily="18" charset="0"/>
            </a:rPr>
            <a:t>déterminer si le</a:t>
          </a:r>
          <a:r>
            <a:rPr lang="fr-FR" sz="80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 core-training a un effet significatif sur la vitesse d'accélération en courbe . </a:t>
          </a:r>
        </a:p>
        <a:p>
          <a:pPr algn="ctr">
            <a:lnSpc>
              <a:spcPct val="100000"/>
            </a:lnSpc>
          </a:pPr>
          <a:r>
            <a:rPr lang="fr-FR" sz="80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Pour cela 2 groupes ont été constitués : CTRL et CORE. </a:t>
          </a:r>
        </a:p>
        <a:p>
          <a:pPr algn="ctr">
            <a:lnSpc>
              <a:spcPct val="100000"/>
            </a:lnSpc>
          </a:pPr>
          <a:r>
            <a:rPr lang="fr-FR" sz="80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Le temps lors d'une accélération en courbe a été mesurée avant et après 8 semaines de core-training</a:t>
          </a:r>
        </a:p>
        <a:p>
          <a:pPr algn="ctr">
            <a:lnSpc>
              <a:spcPct val="100000"/>
            </a:lnSpc>
          </a:pPr>
          <a:r>
            <a:rPr lang="fr-FR" sz="800" b="1" strike="noStrike" spc="-1" baseline="0">
              <a:solidFill>
                <a:srgbClr val="000000"/>
              </a:solidFill>
              <a:uFill>
                <a:solidFill>
                  <a:srgbClr val="FFFFFF"/>
                </a:solidFill>
              </a:uFill>
              <a:latin typeface="Times New Roman" panose="02020603050405020304" pitchFamily="18" charset="0"/>
              <a:cs typeface="Times New Roman" panose="02020603050405020304" pitchFamily="18" charset="0"/>
            </a:rPr>
            <a:t>=&gt; répondre à la question : le Core-training a-t-il eu un effet significatif sur la vitesse en courbe ?</a:t>
          </a:r>
          <a:endParaRPr lang="fr-FR" sz="800" b="0" strike="noStrike" spc="-1">
            <a:solidFill>
              <a:srgbClr val="000000"/>
            </a:solidFill>
            <a:uFill>
              <a:solidFill>
                <a:srgbClr val="FFFFFF"/>
              </a:solidFill>
            </a:u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12700</xdr:colOff>
      <xdr:row>3</xdr:row>
      <xdr:rowOff>6351</xdr:rowOff>
    </xdr:from>
    <xdr:to>
      <xdr:col>8</xdr:col>
      <xdr:colOff>664392</xdr:colOff>
      <xdr:row>11</xdr:row>
      <xdr:rowOff>12701</xdr:rowOff>
    </xdr:to>
    <xdr:sp macro="" textlink="">
      <xdr:nvSpPr>
        <xdr:cNvPr id="6" name="CustomShape 1">
          <a:extLst>
            <a:ext uri="{FF2B5EF4-FFF2-40B4-BE49-F238E27FC236}">
              <a16:creationId xmlns:a16="http://schemas.microsoft.com/office/drawing/2014/main" id="{A473DEFF-1AAB-454D-90F0-2C84FE2B3D52}"/>
            </a:ext>
          </a:extLst>
        </xdr:cNvPr>
        <xdr:cNvSpPr/>
      </xdr:nvSpPr>
      <xdr:spPr>
        <a:xfrm>
          <a:off x="12700" y="558801"/>
          <a:ext cx="7001692" cy="1479550"/>
        </a:xfrm>
        <a:prstGeom prst="rect">
          <a:avLst/>
        </a:prstGeom>
        <a:solidFill>
          <a:schemeClr val="accent2">
            <a:lumMod val="20000"/>
            <a:lumOff val="80000"/>
          </a:schemeClr>
        </a:solidFill>
        <a:ln w="936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nchor="t"/>
        <a:lstStyle/>
        <a:p>
          <a:pPr algn="l">
            <a:lnSpc>
              <a:spcPct val="100000"/>
            </a:lnSpc>
          </a:pPr>
          <a:r>
            <a:rPr lang="fr-FR" sz="800" b="1" u="sng" strike="noStrike" spc="-1">
              <a:solidFill>
                <a:srgbClr val="000000"/>
              </a:solidFill>
              <a:uFill>
                <a:solidFill>
                  <a:srgbClr val="FFFFFF"/>
                </a:solidFill>
              </a:uFill>
              <a:latin typeface="Times New Roman"/>
            </a:rPr>
            <a:t>Conclusion :</a:t>
          </a:r>
        </a:p>
        <a:p>
          <a:pPr algn="l">
            <a:lnSpc>
              <a:spcPct val="100000"/>
            </a:lnSpc>
          </a:pPr>
          <a:r>
            <a:rPr lang="fr-FR" sz="800" baseline="0">
              <a:latin typeface="Times New Roman" panose="02020603050405020304" pitchFamily="18" charset="0"/>
              <a:ea typeface="Calibri" panose="020F0502020204030204" pitchFamily="34" charset="0"/>
              <a:cs typeface="Times New Roman" panose="02020603050405020304" pitchFamily="18" charset="0"/>
            </a:rPr>
            <a:t>L’analyse des variations de performance montre un effet significatif du programme de core-training sur le sprint en courbe droite, avec une amélioration significativement plus importante dans le groupe CORE comparativement au groupe CTRL. La taille d’effet observée est importante, suggérant un impact notable de l’intervention sur cette condition.</a:t>
          </a:r>
        </a:p>
        <a:p>
          <a:pPr algn="l">
            <a:lnSpc>
              <a:spcPct val="100000"/>
            </a:lnSpc>
          </a:pPr>
          <a:r>
            <a:rPr lang="fr-FR" sz="800" baseline="0">
              <a:latin typeface="Times New Roman" panose="02020603050405020304" pitchFamily="18" charset="0"/>
              <a:ea typeface="Calibri" panose="020F0502020204030204" pitchFamily="34" charset="0"/>
              <a:cs typeface="Times New Roman" panose="02020603050405020304" pitchFamily="18" charset="0"/>
            </a:rPr>
            <a:t>En revanche, aucune différence significative n’a été observée pour le sprint en courbe gauche. </a:t>
          </a:r>
        </a:p>
        <a:p>
          <a:pPr algn="l">
            <a:lnSpc>
              <a:spcPct val="100000"/>
            </a:lnSpc>
          </a:pPr>
          <a:r>
            <a:rPr lang="fr-FR" sz="800" baseline="0">
              <a:latin typeface="Times New Roman" panose="02020603050405020304" pitchFamily="18" charset="0"/>
              <a:ea typeface="Calibri" panose="020F0502020204030204" pitchFamily="34" charset="0"/>
              <a:cs typeface="Times New Roman" panose="02020603050405020304" pitchFamily="18" charset="0"/>
            </a:rPr>
            <a:t>Bien qu’une tendance à l’amélioration soit présente dans le groupe CORE, la variabilité interindividuelle plus importante et l’ampleur modérée de l’effet n’ont pas permis d’atteindre le seuil de significativité statistique.</a:t>
          </a:r>
        </a:p>
        <a:p>
          <a:pPr algn="l">
            <a:lnSpc>
              <a:spcPct val="100000"/>
            </a:lnSpc>
          </a:pPr>
          <a:endParaRPr lang="fr-FR" sz="800" baseline="0">
            <a:latin typeface="Times New Roman" panose="02020603050405020304" pitchFamily="18" charset="0"/>
            <a:ea typeface="Calibri" panose="020F0502020204030204" pitchFamily="34" charset="0"/>
            <a:cs typeface="Times New Roman" panose="02020603050405020304" pitchFamily="18" charset="0"/>
          </a:endParaRPr>
        </a:p>
        <a:p>
          <a:pPr algn="l">
            <a:lnSpc>
              <a:spcPct val="100000"/>
            </a:lnSpc>
          </a:pPr>
          <a:r>
            <a:rPr lang="fr-FR" sz="800" baseline="0">
              <a:latin typeface="Times New Roman" panose="02020603050405020304" pitchFamily="18" charset="0"/>
              <a:ea typeface="Calibri" panose="020F0502020204030204" pitchFamily="34" charset="0"/>
              <a:cs typeface="Times New Roman" panose="02020603050405020304" pitchFamily="18" charset="0"/>
            </a:rPr>
            <a:t>Comme les valeurs étudiées ne sont que réelles pour les valeurs pré-expérimentales et inventées pour les post. Nous ne pouvons pas faire de conclusion réelle sur l'impact du protocole.</a:t>
          </a:r>
        </a:p>
        <a:p>
          <a:pPr algn="l">
            <a:lnSpc>
              <a:spcPct val="100000"/>
            </a:lnSpc>
          </a:pPr>
          <a:r>
            <a:rPr lang="fr-FR" sz="800" baseline="0">
              <a:latin typeface="Times New Roman" panose="02020603050405020304" pitchFamily="18" charset="0"/>
              <a:ea typeface="Calibri" panose="020F0502020204030204" pitchFamily="34" charset="0"/>
              <a:cs typeface="Times New Roman" panose="02020603050405020304" pitchFamily="18" charset="0"/>
            </a:rPr>
            <a:t>Mais cela a permis d'avoir les deux cas possibles, notamment avec des distributions à la fois normales et anormale, permettant d'utiliser deux tests différents.</a:t>
          </a:r>
        </a:p>
        <a:p>
          <a:pPr algn="l">
            <a:lnSpc>
              <a:spcPct val="100000"/>
            </a:lnSpc>
          </a:pPr>
          <a:r>
            <a:rPr lang="fr-FR" sz="800" baseline="0">
              <a:latin typeface="Times New Roman" panose="02020603050405020304" pitchFamily="18" charset="0"/>
              <a:ea typeface="Calibri" panose="020F0502020204030204" pitchFamily="34" charset="0"/>
              <a:cs typeface="Times New Roman" panose="02020603050405020304" pitchFamily="18" charset="0"/>
            </a:rPr>
            <a:t>Mais aussi d'avoir des résultats différents.</a:t>
          </a:r>
        </a:p>
        <a:p>
          <a:pPr algn="l">
            <a:lnSpc>
              <a:spcPct val="100000"/>
            </a:lnSpc>
          </a:pPr>
          <a:endParaRPr lang="fr-FR" sz="800" baseline="0">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283F-67D9-47B6-826C-205F670C2DBD}">
  <sheetPr>
    <tabColor rgb="FFFFFF00"/>
  </sheetPr>
  <dimension ref="A6:N25"/>
  <sheetViews>
    <sheetView zoomScale="90" zoomScaleNormal="90" workbookViewId="0">
      <selection activeCell="Q1" sqref="Q1"/>
    </sheetView>
  </sheetViews>
  <sheetFormatPr baseColWidth="10" defaultRowHeight="14.4" x14ac:dyDescent="0.3"/>
  <cols>
    <col min="1" max="1" width="9.5546875" customWidth="1"/>
    <col min="2" max="5" width="7.88671875" customWidth="1"/>
    <col min="6" max="6" width="7.77734375" customWidth="1"/>
    <col min="7" max="7" width="7.88671875" customWidth="1"/>
    <col min="8" max="8" width="3" customWidth="1"/>
    <col min="9" max="14" width="7.88671875" customWidth="1"/>
  </cols>
  <sheetData>
    <row r="6" spans="1:14" ht="15" thickBot="1" x14ac:dyDescent="0.35"/>
    <row r="7" spans="1:14" ht="16.2" thickBot="1" x14ac:dyDescent="0.35">
      <c r="B7" s="72" t="s">
        <v>6</v>
      </c>
      <c r="C7" s="73"/>
      <c r="D7" s="73"/>
      <c r="E7" s="73"/>
      <c r="F7" s="73"/>
      <c r="G7" s="74"/>
      <c r="I7" s="75" t="s">
        <v>7</v>
      </c>
      <c r="J7" s="76"/>
      <c r="K7" s="76"/>
      <c r="L7" s="76"/>
      <c r="M7" s="76"/>
      <c r="N7" s="77"/>
    </row>
    <row r="8" spans="1:14" ht="6" customHeight="1" thickBot="1" x14ac:dyDescent="0.35"/>
    <row r="9" spans="1:14" x14ac:dyDescent="0.3">
      <c r="B9" s="66" t="s">
        <v>3</v>
      </c>
      <c r="C9" s="67"/>
      <c r="D9" s="68"/>
      <c r="E9" s="69" t="s">
        <v>0</v>
      </c>
      <c r="F9" s="70"/>
      <c r="G9" s="71"/>
      <c r="I9" s="66" t="s">
        <v>3</v>
      </c>
      <c r="J9" s="67"/>
      <c r="K9" s="68"/>
      <c r="L9" s="69" t="s">
        <v>0</v>
      </c>
      <c r="M9" s="70"/>
      <c r="N9" s="71"/>
    </row>
    <row r="10" spans="1:14" ht="15" thickBot="1" x14ac:dyDescent="0.35">
      <c r="B10" s="5" t="s">
        <v>1</v>
      </c>
      <c r="C10" s="13" t="s">
        <v>2</v>
      </c>
      <c r="D10" s="6" t="s">
        <v>8</v>
      </c>
      <c r="E10" s="17" t="s">
        <v>1</v>
      </c>
      <c r="F10" s="18" t="s">
        <v>2</v>
      </c>
      <c r="G10" s="19" t="s">
        <v>8</v>
      </c>
      <c r="I10" s="17" t="s">
        <v>1</v>
      </c>
      <c r="J10" s="18" t="s">
        <v>2</v>
      </c>
      <c r="K10" s="19" t="s">
        <v>8</v>
      </c>
      <c r="L10" s="17" t="s">
        <v>1</v>
      </c>
      <c r="M10" s="18" t="s">
        <v>2</v>
      </c>
      <c r="N10" s="19" t="s">
        <v>8</v>
      </c>
    </row>
    <row r="11" spans="1:14" x14ac:dyDescent="0.3">
      <c r="A11" s="36">
        <v>1</v>
      </c>
      <c r="B11" s="10">
        <v>2.6819999999999999</v>
      </c>
      <c r="C11" s="12">
        <v>2.5691282001002813</v>
      </c>
      <c r="D11" s="14">
        <f>C11-B11</f>
        <v>-0.11287179989971863</v>
      </c>
      <c r="E11" s="7">
        <v>2.5649999999999999</v>
      </c>
      <c r="F11" s="12">
        <v>2.585</v>
      </c>
      <c r="G11" s="8">
        <f>F11-E11</f>
        <v>2.0000000000000018E-2</v>
      </c>
      <c r="I11" s="7">
        <v>2.649</v>
      </c>
      <c r="J11" s="20">
        <v>2.601</v>
      </c>
      <c r="K11" s="20">
        <f>J11-I11</f>
        <v>-4.8000000000000043E-2</v>
      </c>
      <c r="L11" s="7">
        <v>2.629</v>
      </c>
      <c r="M11" s="12">
        <v>2.5950000000000002</v>
      </c>
      <c r="N11" s="8">
        <f>M11-L11</f>
        <v>-3.3999999999999808E-2</v>
      </c>
    </row>
    <row r="12" spans="1:14" x14ac:dyDescent="0.3">
      <c r="A12" s="36">
        <v>2</v>
      </c>
      <c r="B12" s="1">
        <v>2.7669999999999999</v>
      </c>
      <c r="C12" s="9">
        <v>2.5936249449068667</v>
      </c>
      <c r="D12" s="15">
        <f t="shared" ref="D12:D21" si="0">C12-B12</f>
        <v>-0.17337505509313322</v>
      </c>
      <c r="E12" s="1">
        <v>2.7210000000000001</v>
      </c>
      <c r="F12" s="9">
        <v>2.657</v>
      </c>
      <c r="G12" s="2">
        <f t="shared" ref="G12:G21" si="1">F12-E12</f>
        <v>-6.4000000000000057E-2</v>
      </c>
      <c r="I12" s="1">
        <v>2.738</v>
      </c>
      <c r="J12" s="15">
        <v>2.714</v>
      </c>
      <c r="K12" s="15">
        <f t="shared" ref="K12:K21" si="2">J12-I12</f>
        <v>-2.4000000000000021E-2</v>
      </c>
      <c r="L12" s="1">
        <v>2.702</v>
      </c>
      <c r="M12" s="9">
        <v>2.6640000000000001</v>
      </c>
      <c r="N12" s="2">
        <f t="shared" ref="N12:N21" si="3">M12-L12</f>
        <v>-3.7999999999999812E-2</v>
      </c>
    </row>
    <row r="13" spans="1:14" x14ac:dyDescent="0.3">
      <c r="A13" s="36">
        <v>3</v>
      </c>
      <c r="B13" s="1">
        <v>2.8820000000000001</v>
      </c>
      <c r="C13" s="9">
        <v>2.7730000000000001</v>
      </c>
      <c r="D13" s="15">
        <f t="shared" si="0"/>
        <v>-0.10899999999999999</v>
      </c>
      <c r="E13" s="1">
        <v>2.9180000000000001</v>
      </c>
      <c r="F13" s="9">
        <v>2.8380000000000001</v>
      </c>
      <c r="G13" s="2">
        <f t="shared" si="1"/>
        <v>-8.0000000000000071E-2</v>
      </c>
      <c r="I13" s="1">
        <v>2.7949999999999999</v>
      </c>
      <c r="J13" s="15">
        <v>2.7389999999999999</v>
      </c>
      <c r="K13" s="15">
        <f t="shared" si="2"/>
        <v>-5.600000000000005E-2</v>
      </c>
      <c r="L13" s="1">
        <v>2.7989999999999999</v>
      </c>
      <c r="M13" s="9">
        <v>2.7280000000000002</v>
      </c>
      <c r="N13" s="2">
        <f t="shared" si="3"/>
        <v>-7.099999999999973E-2</v>
      </c>
    </row>
    <row r="14" spans="1:14" x14ac:dyDescent="0.3">
      <c r="A14" s="36">
        <v>4</v>
      </c>
      <c r="B14" s="1">
        <v>2.5739999999999998</v>
      </c>
      <c r="C14" s="9">
        <v>2.496</v>
      </c>
      <c r="D14" s="15">
        <f t="shared" si="0"/>
        <v>-7.7999999999999847E-2</v>
      </c>
      <c r="E14" s="1">
        <v>2.5640000000000001</v>
      </c>
      <c r="F14" s="9">
        <v>2.613</v>
      </c>
      <c r="G14" s="2">
        <f t="shared" si="1"/>
        <v>4.8999999999999932E-2</v>
      </c>
      <c r="I14" s="1">
        <v>2.601</v>
      </c>
      <c r="J14" s="15">
        <v>2.573</v>
      </c>
      <c r="K14" s="15">
        <f t="shared" si="2"/>
        <v>-2.8000000000000025E-2</v>
      </c>
      <c r="L14" s="1">
        <v>2.6040000000000001</v>
      </c>
      <c r="M14" s="9">
        <v>2.5939999999999999</v>
      </c>
      <c r="N14" s="2">
        <f t="shared" si="3"/>
        <v>-1.0000000000000231E-2</v>
      </c>
    </row>
    <row r="15" spans="1:14" x14ac:dyDescent="0.3">
      <c r="A15" s="36">
        <v>5</v>
      </c>
      <c r="B15" s="1">
        <v>2.907</v>
      </c>
      <c r="C15" s="9">
        <v>2.7949999999999999</v>
      </c>
      <c r="D15" s="15">
        <f t="shared" si="0"/>
        <v>-0.1120000000000001</v>
      </c>
      <c r="E15" s="1">
        <v>2.581</v>
      </c>
      <c r="F15" s="9">
        <v>2.605</v>
      </c>
      <c r="G15" s="2">
        <f t="shared" si="1"/>
        <v>2.4000000000000021E-2</v>
      </c>
      <c r="I15" s="1">
        <v>2.9289999999999998</v>
      </c>
      <c r="J15" s="15">
        <v>2.867</v>
      </c>
      <c r="K15" s="15">
        <f t="shared" si="2"/>
        <v>-6.1999999999999833E-2</v>
      </c>
      <c r="L15" s="1">
        <v>2.6429999999999998</v>
      </c>
      <c r="M15" s="9">
        <v>2.6379999999999999</v>
      </c>
      <c r="N15" s="2">
        <f t="shared" si="3"/>
        <v>-4.9999999999998934E-3</v>
      </c>
    </row>
    <row r="16" spans="1:14" x14ac:dyDescent="0.3">
      <c r="A16" s="36">
        <v>6</v>
      </c>
      <c r="B16" s="1">
        <v>2.6970000000000001</v>
      </c>
      <c r="C16" s="9">
        <v>2.5994606163775651</v>
      </c>
      <c r="D16" s="15">
        <f t="shared" si="0"/>
        <v>-9.7539383622434972E-2</v>
      </c>
      <c r="E16" s="1">
        <v>2.7229999999999999</v>
      </c>
      <c r="F16" s="9">
        <v>2.7759999999999998</v>
      </c>
      <c r="G16" s="2">
        <f t="shared" si="1"/>
        <v>5.2999999999999936E-2</v>
      </c>
      <c r="I16" s="1">
        <v>2.6269999999999998</v>
      </c>
      <c r="J16" s="15">
        <v>2.6560000000000001</v>
      </c>
      <c r="K16" s="15">
        <f t="shared" si="2"/>
        <v>2.9000000000000359E-2</v>
      </c>
      <c r="L16" s="1">
        <v>2.718</v>
      </c>
      <c r="M16" s="9">
        <v>2.6589999999999998</v>
      </c>
      <c r="N16" s="2">
        <f t="shared" si="3"/>
        <v>-5.9000000000000163E-2</v>
      </c>
    </row>
    <row r="17" spans="1:14" x14ac:dyDescent="0.3">
      <c r="A17" s="36">
        <v>7</v>
      </c>
      <c r="B17" s="1">
        <v>2.6360000000000001</v>
      </c>
      <c r="C17" s="9">
        <v>2.597</v>
      </c>
      <c r="D17" s="15">
        <f t="shared" si="0"/>
        <v>-3.9000000000000146E-2</v>
      </c>
      <c r="E17" s="1">
        <v>2.8340000000000001</v>
      </c>
      <c r="F17" s="9">
        <v>2.7879999999999998</v>
      </c>
      <c r="G17" s="2">
        <f t="shared" si="1"/>
        <v>-4.6000000000000263E-2</v>
      </c>
      <c r="I17" s="1">
        <v>2.5779999999999998</v>
      </c>
      <c r="J17" s="15">
        <v>2.573</v>
      </c>
      <c r="K17" s="15">
        <f t="shared" si="2"/>
        <v>-4.9999999999998934E-3</v>
      </c>
      <c r="L17" s="1">
        <v>2.7320000000000002</v>
      </c>
      <c r="M17" s="9">
        <v>2.702</v>
      </c>
      <c r="N17" s="2">
        <f t="shared" si="3"/>
        <v>-3.0000000000000249E-2</v>
      </c>
    </row>
    <row r="18" spans="1:14" x14ac:dyDescent="0.3">
      <c r="A18" s="36">
        <v>8</v>
      </c>
      <c r="B18" s="1">
        <v>2.6190000000000002</v>
      </c>
      <c r="C18" s="9">
        <v>2.6539999999999999</v>
      </c>
      <c r="D18" s="15">
        <f t="shared" si="0"/>
        <v>3.4999999999999698E-2</v>
      </c>
      <c r="E18" s="1">
        <v>2.782</v>
      </c>
      <c r="F18" s="9">
        <v>2.6909999999999998</v>
      </c>
      <c r="G18" s="2">
        <f t="shared" si="1"/>
        <v>-9.1000000000000192E-2</v>
      </c>
      <c r="I18" s="1">
        <v>2.722</v>
      </c>
      <c r="J18" s="15">
        <v>2.6840000000000002</v>
      </c>
      <c r="K18" s="15">
        <f t="shared" si="2"/>
        <v>-3.7999999999999812E-2</v>
      </c>
      <c r="L18" s="1">
        <v>2.78</v>
      </c>
      <c r="M18" s="9">
        <v>2.8119999999999998</v>
      </c>
      <c r="N18" s="2">
        <f t="shared" si="3"/>
        <v>3.2000000000000028E-2</v>
      </c>
    </row>
    <row r="19" spans="1:14" x14ac:dyDescent="0.3">
      <c r="A19" s="36">
        <v>9</v>
      </c>
      <c r="B19" s="1">
        <v>2.6970000000000001</v>
      </c>
      <c r="C19" s="9">
        <v>2.5409999999999999</v>
      </c>
      <c r="D19" s="15">
        <f t="shared" si="0"/>
        <v>-0.15600000000000014</v>
      </c>
      <c r="E19" s="1">
        <v>2.9020000000000001</v>
      </c>
      <c r="F19" s="9">
        <v>2.843</v>
      </c>
      <c r="G19" s="2">
        <f t="shared" si="1"/>
        <v>-5.9000000000000163E-2</v>
      </c>
      <c r="I19" s="1">
        <v>2.8039999999999998</v>
      </c>
      <c r="J19" s="15">
        <v>2.5979999999999999</v>
      </c>
      <c r="K19" s="15">
        <f t="shared" si="2"/>
        <v>-0.20599999999999996</v>
      </c>
      <c r="L19" s="1">
        <v>2.883</v>
      </c>
      <c r="M19" s="9">
        <v>2.8410000000000002</v>
      </c>
      <c r="N19" s="2">
        <f t="shared" si="3"/>
        <v>-4.1999999999999815E-2</v>
      </c>
    </row>
    <row r="20" spans="1:14" x14ac:dyDescent="0.3">
      <c r="A20" s="36">
        <v>10</v>
      </c>
      <c r="B20" s="1">
        <v>2.8740000000000001</v>
      </c>
      <c r="C20" s="9">
        <v>2.7930000000000001</v>
      </c>
      <c r="D20" s="15">
        <f t="shared" si="0"/>
        <v>-8.0999999999999961E-2</v>
      </c>
      <c r="E20" s="1">
        <v>2.79</v>
      </c>
      <c r="F20" s="9">
        <v>2.8940000000000001</v>
      </c>
      <c r="G20" s="2">
        <f t="shared" si="1"/>
        <v>0.10400000000000009</v>
      </c>
      <c r="I20" s="1">
        <v>2.9350000000000001</v>
      </c>
      <c r="J20" s="15">
        <v>2.78</v>
      </c>
      <c r="K20" s="15">
        <f t="shared" si="2"/>
        <v>-0.15500000000000025</v>
      </c>
      <c r="L20" s="1">
        <v>2.694</v>
      </c>
      <c r="M20" s="9">
        <v>2.6709999999999998</v>
      </c>
      <c r="N20" s="2">
        <f t="shared" si="3"/>
        <v>-2.3000000000000131E-2</v>
      </c>
    </row>
    <row r="21" spans="1:14" ht="15" thickBot="1" x14ac:dyDescent="0.35">
      <c r="A21" s="36">
        <v>11</v>
      </c>
      <c r="B21" s="21">
        <v>2.504</v>
      </c>
      <c r="C21" s="22">
        <v>2.528</v>
      </c>
      <c r="D21" s="23">
        <f t="shared" si="0"/>
        <v>2.4000000000000021E-2</v>
      </c>
      <c r="E21" s="21">
        <v>2.5019999999999998</v>
      </c>
      <c r="F21" s="22">
        <v>2.5569999999999999</v>
      </c>
      <c r="G21" s="24">
        <f t="shared" si="1"/>
        <v>5.500000000000016E-2</v>
      </c>
      <c r="I21" s="4">
        <v>2.5310000000000001</v>
      </c>
      <c r="J21" s="16">
        <v>2.5219999999999998</v>
      </c>
      <c r="K21" s="16">
        <f t="shared" si="2"/>
        <v>-9.0000000000003411E-3</v>
      </c>
      <c r="L21" s="4">
        <v>2.488</v>
      </c>
      <c r="M21" s="11">
        <v>2.5009999999999999</v>
      </c>
      <c r="N21" s="3">
        <f t="shared" si="3"/>
        <v>1.2999999999999901E-2</v>
      </c>
    </row>
    <row r="22" spans="1:14" x14ac:dyDescent="0.3">
      <c r="A22" s="26" t="s">
        <v>4</v>
      </c>
      <c r="B22" s="27">
        <f>AVERAGE(B11:B21)</f>
        <v>2.7126363636363635</v>
      </c>
      <c r="C22" s="28">
        <f t="shared" ref="C22:D22" si="4">AVERAGE(C11:C21)</f>
        <v>2.6308376146713375</v>
      </c>
      <c r="D22" s="29">
        <f t="shared" si="4"/>
        <v>-8.1798748965026119E-2</v>
      </c>
      <c r="E22" s="30">
        <f t="shared" ref="E22" si="5">AVERAGE(E11:E21)</f>
        <v>2.7165454545454542</v>
      </c>
      <c r="F22" s="28">
        <f t="shared" ref="F22:G22" si="6">AVERAGE(F11:F21)</f>
        <v>2.7133636363636362</v>
      </c>
      <c r="G22" s="29">
        <f t="shared" si="6"/>
        <v>-3.1818181818182353E-3</v>
      </c>
      <c r="I22" s="27">
        <f>AVERAGE(I11:I21)</f>
        <v>2.7189999999999999</v>
      </c>
      <c r="J22" s="28">
        <f t="shared" ref="J22:K22" si="7">AVERAGE(J11:J21)</f>
        <v>2.6642727272727273</v>
      </c>
      <c r="K22" s="29">
        <f t="shared" si="7"/>
        <v>-5.4727272727272715E-2</v>
      </c>
      <c r="L22" s="30">
        <f t="shared" ref="L22" si="8">AVERAGE(L11:L21)</f>
        <v>2.6974545454545451</v>
      </c>
      <c r="M22" s="28">
        <f t="shared" ref="M22:N22" si="9">AVERAGE(M11:M21)</f>
        <v>2.6731818181818183</v>
      </c>
      <c r="N22" s="29">
        <f t="shared" si="9"/>
        <v>-2.4272727272727265E-2</v>
      </c>
    </row>
    <row r="23" spans="1:14" ht="15" thickBot="1" x14ac:dyDescent="0.35">
      <c r="A23" s="31" t="s">
        <v>5</v>
      </c>
      <c r="B23" s="32">
        <f>_xlfn.STDEV.S(B11:B21)</f>
        <v>0.13201232724808146</v>
      </c>
      <c r="C23" s="33">
        <f t="shared" ref="C23:D23" si="10">_xlfn.STDEV.S(C11:C21)</f>
        <v>0.10869335629484636</v>
      </c>
      <c r="D23" s="34">
        <f t="shared" si="10"/>
        <v>6.5908645596702023E-2</v>
      </c>
      <c r="E23" s="35">
        <f t="shared" ref="E23" si="11">_xlfn.STDEV.S(E11:E21)</f>
        <v>0.14462113513339864</v>
      </c>
      <c r="F23" s="33">
        <f t="shared" ref="F23:G23" si="12">_xlfn.STDEV.S(F11:F21)</f>
        <v>0.11869395328092559</v>
      </c>
      <c r="G23" s="34">
        <f t="shared" si="12"/>
        <v>6.6550459324963701E-2</v>
      </c>
      <c r="I23" s="32">
        <f>_xlfn.STDEV.S(I11:I21)</f>
        <v>0.13661625086350448</v>
      </c>
      <c r="J23" s="33">
        <f t="shared" ref="J23:K23" si="13">_xlfn.STDEV.S(J11:J21)</f>
        <v>0.10406929509619148</v>
      </c>
      <c r="K23" s="34">
        <f t="shared" si="13"/>
        <v>6.8227693657474525E-2</v>
      </c>
      <c r="L23" s="35">
        <f t="shared" ref="L23" si="14">_xlfn.STDEV.S(L11:L21)</f>
        <v>0.10651606793002041</v>
      </c>
      <c r="M23" s="33">
        <f t="shared" ref="M23:N23" si="15">_xlfn.STDEV.S(M11:M21)</f>
        <v>9.7378455709482503E-2</v>
      </c>
      <c r="N23" s="34">
        <f t="shared" si="15"/>
        <v>3.0252573143753882E-2</v>
      </c>
    </row>
    <row r="24" spans="1:14" x14ac:dyDescent="0.3">
      <c r="A24" s="55" t="s">
        <v>37</v>
      </c>
      <c r="B24" s="57"/>
      <c r="C24" s="58"/>
      <c r="D24" s="56">
        <f>KURT(D11:D21)</f>
        <v>-0.10780104280426261</v>
      </c>
      <c r="E24" s="58"/>
      <c r="F24" s="58"/>
      <c r="G24" s="56">
        <f>KURT(G11:G21)</f>
        <v>-1.5245603747563008</v>
      </c>
      <c r="I24" s="57"/>
      <c r="J24" s="58"/>
      <c r="K24" s="56">
        <f>KURT(K11:K21)</f>
        <v>1.6361095348947234</v>
      </c>
      <c r="L24" s="58"/>
      <c r="M24" s="58"/>
      <c r="N24" s="56">
        <f>KURT(N11:N21)</f>
        <v>-0.11684383319362457</v>
      </c>
    </row>
    <row r="25" spans="1:14" ht="15" thickBot="1" x14ac:dyDescent="0.35">
      <c r="A25" s="51" t="s">
        <v>38</v>
      </c>
      <c r="B25" s="59"/>
      <c r="C25" s="60"/>
      <c r="D25" s="3">
        <f>SKEW(D11:D21)</f>
        <v>0.68216631426077579</v>
      </c>
      <c r="E25" s="60"/>
      <c r="F25" s="60"/>
      <c r="G25" s="3">
        <f>SKEW(G11:G21)</f>
        <v>7.1437615550730069E-2</v>
      </c>
      <c r="I25" s="59"/>
      <c r="J25" s="60"/>
      <c r="K25" s="3">
        <f>SKEW(K11:K21)</f>
        <v>-1.3898539280980728</v>
      </c>
      <c r="L25" s="60"/>
      <c r="M25" s="60"/>
      <c r="N25" s="3">
        <f>SKEW(N11:N21)</f>
        <v>0.38347750836820782</v>
      </c>
    </row>
  </sheetData>
  <mergeCells count="6">
    <mergeCell ref="B9:D9"/>
    <mergeCell ref="E9:G9"/>
    <mergeCell ref="B7:G7"/>
    <mergeCell ref="I7:N7"/>
    <mergeCell ref="I9:K9"/>
    <mergeCell ref="L9:N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BD01-9204-4256-92F4-CF05A146DA9E}">
  <sheetPr>
    <tabColor theme="4" tint="0.79998168889431442"/>
  </sheetPr>
  <dimension ref="A6:AA70"/>
  <sheetViews>
    <sheetView topLeftCell="A15" zoomScale="71" zoomScaleNormal="71" workbookViewId="0">
      <selection activeCell="C43" sqref="C43"/>
    </sheetView>
  </sheetViews>
  <sheetFormatPr baseColWidth="10" defaultRowHeight="14.4" x14ac:dyDescent="0.3"/>
  <cols>
    <col min="1" max="1" width="9.5546875" customWidth="1"/>
    <col min="2" max="4" width="7.88671875" customWidth="1"/>
    <col min="5" max="5" width="9.33203125" customWidth="1"/>
    <col min="6" max="6" width="7.77734375" customWidth="1"/>
    <col min="7" max="7" width="9.5546875" customWidth="1"/>
    <col min="8" max="10" width="7.88671875" customWidth="1"/>
    <col min="11" max="11" width="9.33203125" customWidth="1"/>
    <col min="18" max="18" width="4.33203125" customWidth="1"/>
  </cols>
  <sheetData>
    <row r="6" spans="1:6" ht="17.399999999999999" customHeight="1" thickBot="1" x14ac:dyDescent="0.35"/>
    <row r="7" spans="1:6" ht="18.600000000000001" thickBot="1" x14ac:dyDescent="0.4">
      <c r="A7" s="82" t="s">
        <v>6</v>
      </c>
      <c r="B7" s="83"/>
      <c r="C7" s="83"/>
      <c r="D7" s="83"/>
      <c r="E7" s="83"/>
      <c r="F7" s="84"/>
    </row>
    <row r="8" spans="1:6" ht="6" customHeight="1" thickBot="1" x14ac:dyDescent="0.35"/>
    <row r="9" spans="1:6" ht="15" thickBot="1" x14ac:dyDescent="0.35">
      <c r="A9" s="37" t="s">
        <v>9</v>
      </c>
      <c r="B9" s="38" t="s">
        <v>21</v>
      </c>
      <c r="C9" s="38" t="s">
        <v>33</v>
      </c>
      <c r="D9" s="38" t="s">
        <v>34</v>
      </c>
      <c r="E9" s="38" t="s">
        <v>35</v>
      </c>
      <c r="F9" s="39" t="s">
        <v>36</v>
      </c>
    </row>
    <row r="10" spans="1:6" x14ac:dyDescent="0.3">
      <c r="A10" s="25" t="s">
        <v>10</v>
      </c>
      <c r="B10" s="42" t="s">
        <v>3</v>
      </c>
      <c r="C10" s="12">
        <v>2.6819999999999999</v>
      </c>
      <c r="D10" s="12">
        <v>2.5691282001002813</v>
      </c>
      <c r="E10" s="12">
        <v>-0.11287179989971863</v>
      </c>
      <c r="F10" s="46">
        <f>(D10-C10)*100</f>
        <v>-11.287179989971863</v>
      </c>
    </row>
    <row r="11" spans="1:6" x14ac:dyDescent="0.3">
      <c r="A11" s="43" t="s">
        <v>11</v>
      </c>
      <c r="B11" s="40" t="s">
        <v>3</v>
      </c>
      <c r="C11" s="9">
        <v>2.7669999999999999</v>
      </c>
      <c r="D11" s="9">
        <v>2.5936249449068667</v>
      </c>
      <c r="E11" s="9">
        <v>-0.17337505509313322</v>
      </c>
      <c r="F11" s="47">
        <f t="shared" ref="F11:F31" si="0">(D11-C11)*100</f>
        <v>-17.337505509313324</v>
      </c>
    </row>
    <row r="12" spans="1:6" x14ac:dyDescent="0.3">
      <c r="A12" s="43" t="s">
        <v>12</v>
      </c>
      <c r="B12" s="40" t="s">
        <v>3</v>
      </c>
      <c r="C12" s="9">
        <v>2.8820000000000001</v>
      </c>
      <c r="D12" s="9">
        <v>2.7730000000000001</v>
      </c>
      <c r="E12" s="9">
        <v>-0.10899999999999999</v>
      </c>
      <c r="F12" s="47">
        <f t="shared" si="0"/>
        <v>-10.899999999999999</v>
      </c>
    </row>
    <row r="13" spans="1:6" x14ac:dyDescent="0.3">
      <c r="A13" s="43" t="s">
        <v>13</v>
      </c>
      <c r="B13" s="40" t="s">
        <v>3</v>
      </c>
      <c r="C13" s="9">
        <v>2.5739999999999998</v>
      </c>
      <c r="D13" s="9">
        <v>2.496</v>
      </c>
      <c r="E13" s="9">
        <v>-7.7999999999999847E-2</v>
      </c>
      <c r="F13" s="47">
        <f t="shared" si="0"/>
        <v>-7.7999999999999847</v>
      </c>
    </row>
    <row r="14" spans="1:6" x14ac:dyDescent="0.3">
      <c r="A14" s="43" t="s">
        <v>14</v>
      </c>
      <c r="B14" s="40" t="s">
        <v>3</v>
      </c>
      <c r="C14" s="9">
        <v>2.907</v>
      </c>
      <c r="D14" s="9">
        <v>2.7949999999999999</v>
      </c>
      <c r="E14" s="9">
        <v>-0.1120000000000001</v>
      </c>
      <c r="F14" s="47">
        <f t="shared" si="0"/>
        <v>-11.20000000000001</v>
      </c>
    </row>
    <row r="15" spans="1:6" x14ac:dyDescent="0.3">
      <c r="A15" s="43" t="s">
        <v>15</v>
      </c>
      <c r="B15" s="40" t="s">
        <v>3</v>
      </c>
      <c r="C15" s="9">
        <v>2.6970000000000001</v>
      </c>
      <c r="D15" s="9">
        <v>2.5994606163775651</v>
      </c>
      <c r="E15" s="9">
        <v>-9.7539383622434972E-2</v>
      </c>
      <c r="F15" s="47">
        <f t="shared" si="0"/>
        <v>-9.7539383622434972</v>
      </c>
    </row>
    <row r="16" spans="1:6" x14ac:dyDescent="0.3">
      <c r="A16" s="43" t="s">
        <v>16</v>
      </c>
      <c r="B16" s="40" t="s">
        <v>3</v>
      </c>
      <c r="C16" s="9">
        <v>2.6360000000000001</v>
      </c>
      <c r="D16" s="9">
        <v>2.597</v>
      </c>
      <c r="E16" s="9">
        <v>-3.9000000000000146E-2</v>
      </c>
      <c r="F16" s="47">
        <f t="shared" si="0"/>
        <v>-3.9000000000000146</v>
      </c>
    </row>
    <row r="17" spans="1:6" x14ac:dyDescent="0.3">
      <c r="A17" s="43" t="s">
        <v>17</v>
      </c>
      <c r="B17" s="40" t="s">
        <v>3</v>
      </c>
      <c r="C17" s="9">
        <v>2.6190000000000002</v>
      </c>
      <c r="D17" s="9">
        <v>2.6539999999999999</v>
      </c>
      <c r="E17" s="9">
        <v>3.4999999999999698E-2</v>
      </c>
      <c r="F17" s="47">
        <f t="shared" si="0"/>
        <v>3.4999999999999698</v>
      </c>
    </row>
    <row r="18" spans="1:6" x14ac:dyDescent="0.3">
      <c r="A18" s="43" t="s">
        <v>18</v>
      </c>
      <c r="B18" s="40" t="s">
        <v>3</v>
      </c>
      <c r="C18" s="9">
        <v>2.6970000000000001</v>
      </c>
      <c r="D18" s="9">
        <v>2.5409999999999999</v>
      </c>
      <c r="E18" s="9">
        <v>-0.15600000000000014</v>
      </c>
      <c r="F18" s="47">
        <f t="shared" si="0"/>
        <v>-15.600000000000014</v>
      </c>
    </row>
    <row r="19" spans="1:6" x14ac:dyDescent="0.3">
      <c r="A19" s="43" t="s">
        <v>19</v>
      </c>
      <c r="B19" s="40" t="s">
        <v>3</v>
      </c>
      <c r="C19" s="9">
        <v>2.8740000000000001</v>
      </c>
      <c r="D19" s="9">
        <v>2.7930000000000001</v>
      </c>
      <c r="E19" s="9">
        <v>-8.0999999999999961E-2</v>
      </c>
      <c r="F19" s="47">
        <f t="shared" si="0"/>
        <v>-8.0999999999999961</v>
      </c>
    </row>
    <row r="20" spans="1:6" ht="15" thickBot="1" x14ac:dyDescent="0.35">
      <c r="A20" s="5" t="s">
        <v>20</v>
      </c>
      <c r="B20" s="45" t="s">
        <v>3</v>
      </c>
      <c r="C20" s="11">
        <v>2.504</v>
      </c>
      <c r="D20" s="11">
        <v>2.528</v>
      </c>
      <c r="E20" s="11">
        <v>2.4000000000000021E-2</v>
      </c>
      <c r="F20" s="48">
        <f t="shared" si="0"/>
        <v>2.4000000000000021</v>
      </c>
    </row>
    <row r="21" spans="1:6" x14ac:dyDescent="0.3">
      <c r="A21" s="25" t="s">
        <v>22</v>
      </c>
      <c r="B21" s="49" t="s">
        <v>0</v>
      </c>
      <c r="C21" s="12">
        <v>2.5649999999999999</v>
      </c>
      <c r="D21" s="12">
        <v>2.585</v>
      </c>
      <c r="E21" s="12">
        <v>2.0000000000000018E-2</v>
      </c>
      <c r="F21" s="46">
        <f>(D21-C21)*100</f>
        <v>2.0000000000000018</v>
      </c>
    </row>
    <row r="22" spans="1:6" x14ac:dyDescent="0.3">
      <c r="A22" s="43" t="s">
        <v>23</v>
      </c>
      <c r="B22" s="41" t="s">
        <v>0</v>
      </c>
      <c r="C22" s="9">
        <v>2.7210000000000001</v>
      </c>
      <c r="D22" s="9">
        <v>2.657</v>
      </c>
      <c r="E22" s="9">
        <v>-6.4000000000000057E-2</v>
      </c>
      <c r="F22" s="47">
        <f t="shared" si="0"/>
        <v>-6.4000000000000057</v>
      </c>
    </row>
    <row r="23" spans="1:6" x14ac:dyDescent="0.3">
      <c r="A23" s="43" t="s">
        <v>24</v>
      </c>
      <c r="B23" s="41" t="s">
        <v>0</v>
      </c>
      <c r="C23" s="9">
        <v>2.9180000000000001</v>
      </c>
      <c r="D23" s="9">
        <v>2.8380000000000001</v>
      </c>
      <c r="E23" s="9">
        <v>-8.0000000000000071E-2</v>
      </c>
      <c r="F23" s="47">
        <f t="shared" si="0"/>
        <v>-8.0000000000000071</v>
      </c>
    </row>
    <row r="24" spans="1:6" x14ac:dyDescent="0.3">
      <c r="A24" s="43" t="s">
        <v>25</v>
      </c>
      <c r="B24" s="41" t="s">
        <v>0</v>
      </c>
      <c r="C24" s="9">
        <v>2.5640000000000001</v>
      </c>
      <c r="D24" s="9">
        <v>2.613</v>
      </c>
      <c r="E24" s="9">
        <v>4.8999999999999932E-2</v>
      </c>
      <c r="F24" s="47">
        <f t="shared" si="0"/>
        <v>4.8999999999999932</v>
      </c>
    </row>
    <row r="25" spans="1:6" x14ac:dyDescent="0.3">
      <c r="A25" s="43" t="s">
        <v>26</v>
      </c>
      <c r="B25" s="41" t="s">
        <v>0</v>
      </c>
      <c r="C25" s="9">
        <v>2.581</v>
      </c>
      <c r="D25" s="9">
        <v>2.605</v>
      </c>
      <c r="E25" s="9">
        <v>2.4000000000000021E-2</v>
      </c>
      <c r="F25" s="47">
        <f t="shared" si="0"/>
        <v>2.4000000000000021</v>
      </c>
    </row>
    <row r="26" spans="1:6" x14ac:dyDescent="0.3">
      <c r="A26" s="43" t="s">
        <v>27</v>
      </c>
      <c r="B26" s="41" t="s">
        <v>0</v>
      </c>
      <c r="C26" s="9">
        <v>2.7229999999999999</v>
      </c>
      <c r="D26" s="9">
        <v>2.7759999999999998</v>
      </c>
      <c r="E26" s="9">
        <v>5.2999999999999936E-2</v>
      </c>
      <c r="F26" s="47">
        <f t="shared" si="0"/>
        <v>5.2999999999999936</v>
      </c>
    </row>
    <row r="27" spans="1:6" x14ac:dyDescent="0.3">
      <c r="A27" s="43" t="s">
        <v>28</v>
      </c>
      <c r="B27" s="41" t="s">
        <v>0</v>
      </c>
      <c r="C27" s="9">
        <v>2.8340000000000001</v>
      </c>
      <c r="D27" s="9">
        <v>2.7879999999999998</v>
      </c>
      <c r="E27" s="9">
        <v>-4.6000000000000263E-2</v>
      </c>
      <c r="F27" s="47">
        <f t="shared" si="0"/>
        <v>-4.6000000000000263</v>
      </c>
    </row>
    <row r="28" spans="1:6" x14ac:dyDescent="0.3">
      <c r="A28" s="43" t="s">
        <v>29</v>
      </c>
      <c r="B28" s="41" t="s">
        <v>0</v>
      </c>
      <c r="C28" s="9">
        <v>2.782</v>
      </c>
      <c r="D28" s="9">
        <v>2.6909999999999998</v>
      </c>
      <c r="E28" s="9">
        <v>-9.1000000000000192E-2</v>
      </c>
      <c r="F28" s="47">
        <f t="shared" si="0"/>
        <v>-9.1000000000000192</v>
      </c>
    </row>
    <row r="29" spans="1:6" x14ac:dyDescent="0.3">
      <c r="A29" s="43" t="s">
        <v>30</v>
      </c>
      <c r="B29" s="41" t="s">
        <v>0</v>
      </c>
      <c r="C29" s="9">
        <v>2.9020000000000001</v>
      </c>
      <c r="D29" s="9">
        <v>2.843</v>
      </c>
      <c r="E29" s="9">
        <v>-5.9000000000000163E-2</v>
      </c>
      <c r="F29" s="47">
        <f t="shared" si="0"/>
        <v>-5.9000000000000163</v>
      </c>
    </row>
    <row r="30" spans="1:6" x14ac:dyDescent="0.3">
      <c r="A30" s="43" t="s">
        <v>31</v>
      </c>
      <c r="B30" s="41" t="s">
        <v>0</v>
      </c>
      <c r="C30" s="9">
        <v>2.79</v>
      </c>
      <c r="D30" s="9">
        <v>2.8940000000000001</v>
      </c>
      <c r="E30" s="9">
        <v>0.10400000000000009</v>
      </c>
      <c r="F30" s="47">
        <f t="shared" si="0"/>
        <v>10.400000000000009</v>
      </c>
    </row>
    <row r="31" spans="1:6" ht="15" thickBot="1" x14ac:dyDescent="0.35">
      <c r="A31" s="5" t="s">
        <v>32</v>
      </c>
      <c r="B31" s="44" t="s">
        <v>0</v>
      </c>
      <c r="C31" s="11">
        <v>2.5019999999999998</v>
      </c>
      <c r="D31" s="11">
        <v>2.5569999999999999</v>
      </c>
      <c r="E31" s="11">
        <v>5.500000000000016E-2</v>
      </c>
      <c r="F31" s="48">
        <f t="shared" si="0"/>
        <v>5.500000000000016</v>
      </c>
    </row>
    <row r="32" spans="1:6" ht="15" customHeight="1" thickBot="1" x14ac:dyDescent="0.35"/>
    <row r="33" spans="1:27" x14ac:dyDescent="0.3">
      <c r="B33" s="78" t="s">
        <v>3</v>
      </c>
      <c r="C33" s="67"/>
      <c r="D33" s="67"/>
      <c r="E33" s="79"/>
      <c r="H33" s="80" t="s">
        <v>0</v>
      </c>
      <c r="I33" s="70"/>
      <c r="J33" s="70"/>
      <c r="K33" s="81"/>
    </row>
    <row r="34" spans="1:27" ht="15" thickBot="1" x14ac:dyDescent="0.35">
      <c r="B34" s="5" t="s">
        <v>1</v>
      </c>
      <c r="C34" s="13" t="s">
        <v>2</v>
      </c>
      <c r="D34" s="6" t="s">
        <v>8</v>
      </c>
      <c r="E34" s="6" t="s">
        <v>36</v>
      </c>
      <c r="F34" s="36"/>
      <c r="H34" s="17" t="s">
        <v>1</v>
      </c>
      <c r="I34" s="18" t="s">
        <v>2</v>
      </c>
      <c r="J34" s="19" t="s">
        <v>8</v>
      </c>
      <c r="K34" s="19" t="s">
        <v>36</v>
      </c>
    </row>
    <row r="35" spans="1:27" x14ac:dyDescent="0.3">
      <c r="A35" s="26" t="s">
        <v>4</v>
      </c>
      <c r="B35" s="27">
        <f>'Présentation générale'!B22</f>
        <v>2.7126363636363635</v>
      </c>
      <c r="C35" s="28">
        <f>'Présentation générale'!C22</f>
        <v>2.6308376146713375</v>
      </c>
      <c r="D35" s="29">
        <f>'Présentation générale'!D22</f>
        <v>-8.1798748965026119E-2</v>
      </c>
      <c r="E35" s="29">
        <f>AVERAGE(F10:F20)</f>
        <v>-8.1798748965026107</v>
      </c>
      <c r="G35" s="50" t="s">
        <v>4</v>
      </c>
      <c r="H35" s="30">
        <f>'Présentation générale'!E22</f>
        <v>2.7165454545454542</v>
      </c>
      <c r="I35" s="28">
        <f>'Présentation générale'!F22</f>
        <v>2.7133636363636362</v>
      </c>
      <c r="J35" s="29">
        <f>'Présentation générale'!G22</f>
        <v>-3.1818181818182353E-3</v>
      </c>
      <c r="K35" s="29">
        <f>AVERAGE(F21:F31)</f>
        <v>-0.31818181818182351</v>
      </c>
    </row>
    <row r="36" spans="1:27" ht="15" thickBot="1" x14ac:dyDescent="0.35">
      <c r="A36" s="31" t="s">
        <v>5</v>
      </c>
      <c r="B36" s="32">
        <f>'Présentation générale'!B23</f>
        <v>0.13201232724808146</v>
      </c>
      <c r="C36" s="33">
        <f>'Présentation générale'!C23</f>
        <v>0.10869335629484636</v>
      </c>
      <c r="D36" s="34">
        <f>'Présentation générale'!D23</f>
        <v>6.5908645596702023E-2</v>
      </c>
      <c r="E36" s="34">
        <f>_xlfn.STDEV.S(F10:F20)</f>
        <v>6.5908645596702033</v>
      </c>
      <c r="G36" s="51" t="s">
        <v>5</v>
      </c>
      <c r="H36" s="35">
        <f>'Présentation générale'!E23</f>
        <v>0.14462113513339864</v>
      </c>
      <c r="I36" s="33">
        <f>'Présentation générale'!F23</f>
        <v>0.11869395328092559</v>
      </c>
      <c r="J36" s="34">
        <f>'Présentation générale'!G23</f>
        <v>6.6550459324963701E-2</v>
      </c>
      <c r="K36" s="34">
        <f>_xlfn.STDEV.S(F21:F31)</f>
        <v>6.6550459324963711</v>
      </c>
    </row>
    <row r="37" spans="1:27" ht="8.4" customHeight="1" x14ac:dyDescent="0.3"/>
    <row r="38" spans="1:27" x14ac:dyDescent="0.3">
      <c r="C38" s="65" t="s">
        <v>42</v>
      </c>
      <c r="I38" t="s">
        <v>42</v>
      </c>
    </row>
    <row r="39" spans="1:27" x14ac:dyDescent="0.3">
      <c r="C39">
        <f>((0.2*D36)/D35)*100</f>
        <v>-16.114829732880619</v>
      </c>
      <c r="F39" t="s">
        <v>43</v>
      </c>
      <c r="I39">
        <f>((0.2*J36)/J35)*100</f>
        <v>-418.31717289976478</v>
      </c>
    </row>
    <row r="43" spans="1:27" x14ac:dyDescent="0.3">
      <c r="M43" s="36" t="s">
        <v>39</v>
      </c>
      <c r="N43" s="36" t="s">
        <v>40</v>
      </c>
    </row>
    <row r="44" spans="1:27" x14ac:dyDescent="0.3">
      <c r="L44" t="s">
        <v>4</v>
      </c>
      <c r="M44">
        <v>-8.2000000000000003E-2</v>
      </c>
      <c r="N44">
        <v>-3.0000000000000001E-3</v>
      </c>
    </row>
    <row r="45" spans="1:27" x14ac:dyDescent="0.3">
      <c r="L45" t="s">
        <v>5</v>
      </c>
      <c r="M45">
        <v>-6.6000000000000003E-2</v>
      </c>
      <c r="N45">
        <v>-6.7000000000000004E-2</v>
      </c>
    </row>
    <row r="47" spans="1:27" ht="15" thickBot="1" x14ac:dyDescent="0.35"/>
    <row r="48" spans="1:27" ht="15" thickBot="1" x14ac:dyDescent="0.35">
      <c r="U48" s="37" t="s">
        <v>9</v>
      </c>
      <c r="V48" s="38" t="s">
        <v>21</v>
      </c>
      <c r="W48" s="38" t="s">
        <v>41</v>
      </c>
      <c r="X48" s="38" t="s">
        <v>35</v>
      </c>
      <c r="Z48" s="63" t="s">
        <v>41</v>
      </c>
      <c r="AA48" s="63" t="s">
        <v>4</v>
      </c>
    </row>
    <row r="49" spans="21:27" ht="15" thickBot="1" x14ac:dyDescent="0.35">
      <c r="U49" s="25" t="s">
        <v>10</v>
      </c>
      <c r="V49" s="42" t="s">
        <v>3</v>
      </c>
      <c r="W49" s="62">
        <v>1.1206717001637714</v>
      </c>
      <c r="X49" s="12">
        <v>-0.11287179989971863</v>
      </c>
      <c r="Z49" s="64">
        <v>1</v>
      </c>
      <c r="AA49" s="64">
        <v>-8.2000000000000003E-2</v>
      </c>
    </row>
    <row r="50" spans="21:27" ht="15" thickBot="1" x14ac:dyDescent="0.35">
      <c r="U50" s="43" t="s">
        <v>11</v>
      </c>
      <c r="V50" s="40" t="s">
        <v>3</v>
      </c>
      <c r="W50" s="62">
        <v>1.0104020732617689</v>
      </c>
      <c r="X50" s="9">
        <v>-0.17337505509313322</v>
      </c>
      <c r="Z50" s="64">
        <v>2</v>
      </c>
      <c r="AA50" s="64">
        <v>-3.0000000000000001E-3</v>
      </c>
    </row>
    <row r="51" spans="21:27" ht="15" thickBot="1" x14ac:dyDescent="0.35">
      <c r="U51" s="43" t="s">
        <v>12</v>
      </c>
      <c r="V51" s="40" t="s">
        <v>3</v>
      </c>
      <c r="W51" s="62">
        <v>1.0180231391850061</v>
      </c>
      <c r="X51" s="9">
        <v>-0.10899999999999999</v>
      </c>
      <c r="Z51" s="61"/>
    </row>
    <row r="52" spans="21:27" ht="15" thickBot="1" x14ac:dyDescent="0.35">
      <c r="U52" s="43" t="s">
        <v>13</v>
      </c>
      <c r="V52" s="40" t="s">
        <v>3</v>
      </c>
      <c r="W52" s="62">
        <v>1.1094570995730813</v>
      </c>
      <c r="X52" s="9">
        <v>-7.7999999999999847E-2</v>
      </c>
      <c r="Z52" s="61"/>
    </row>
    <row r="53" spans="21:27" ht="15" thickBot="1" x14ac:dyDescent="0.35">
      <c r="U53" s="43" t="s">
        <v>14</v>
      </c>
      <c r="V53" s="40" t="s">
        <v>3</v>
      </c>
      <c r="W53" s="62">
        <v>1.0394426583980116</v>
      </c>
      <c r="X53" s="9">
        <v>-0.1120000000000001</v>
      </c>
      <c r="Z53" s="61"/>
    </row>
    <row r="54" spans="21:27" ht="15" thickBot="1" x14ac:dyDescent="0.35">
      <c r="U54" s="43" t="s">
        <v>15</v>
      </c>
      <c r="V54" s="40" t="s">
        <v>3</v>
      </c>
      <c r="W54" s="62">
        <v>0.97966863861402387</v>
      </c>
      <c r="X54" s="9">
        <v>-9.7539383622434972E-2</v>
      </c>
      <c r="Z54" s="61"/>
    </row>
    <row r="55" spans="21:27" ht="15" thickBot="1" x14ac:dyDescent="0.35">
      <c r="U55" s="43" t="s">
        <v>16</v>
      </c>
      <c r="V55" s="40" t="s">
        <v>3</v>
      </c>
      <c r="W55" s="62">
        <v>1.1304211619736217</v>
      </c>
      <c r="X55" s="9">
        <v>-3.9000000000000146E-2</v>
      </c>
      <c r="Z55" s="61"/>
    </row>
    <row r="56" spans="21:27" ht="15" thickBot="1" x14ac:dyDescent="0.35">
      <c r="U56" s="43" t="s">
        <v>17</v>
      </c>
      <c r="V56" s="40" t="s">
        <v>3</v>
      </c>
      <c r="W56" s="62">
        <v>0.87630030153120364</v>
      </c>
      <c r="X56" s="9">
        <v>3.4999999999999698E-2</v>
      </c>
      <c r="Z56" s="61"/>
    </row>
    <row r="57" spans="21:27" ht="15" thickBot="1" x14ac:dyDescent="0.35">
      <c r="U57" s="43" t="s">
        <v>18</v>
      </c>
      <c r="V57" s="40" t="s">
        <v>3</v>
      </c>
      <c r="W57" s="62">
        <v>1.090004964151257</v>
      </c>
      <c r="X57" s="9">
        <v>-0.15600000000000014</v>
      </c>
      <c r="Z57" s="61"/>
    </row>
    <row r="58" spans="21:27" ht="15" thickBot="1" x14ac:dyDescent="0.35">
      <c r="U58" s="43" t="s">
        <v>19</v>
      </c>
      <c r="V58" s="40" t="s">
        <v>3</v>
      </c>
      <c r="W58" s="62">
        <v>0.99627342205533564</v>
      </c>
      <c r="X58" s="9">
        <v>-8.0999999999999961E-2</v>
      </c>
      <c r="Z58" s="61"/>
    </row>
    <row r="59" spans="21:27" ht="15" thickBot="1" x14ac:dyDescent="0.35">
      <c r="U59" s="5" t="s">
        <v>20</v>
      </c>
      <c r="V59" s="45" t="s">
        <v>3</v>
      </c>
      <c r="W59" s="62">
        <v>1.0603943804503304</v>
      </c>
      <c r="X59" s="11">
        <v>2.4000000000000021E-2</v>
      </c>
      <c r="Z59" s="61"/>
    </row>
    <row r="60" spans="21:27" ht="15" thickBot="1" x14ac:dyDescent="0.35">
      <c r="U60" s="25" t="s">
        <v>22</v>
      </c>
      <c r="V60" s="49" t="s">
        <v>0</v>
      </c>
      <c r="W60" s="62">
        <v>1.9952019194327337</v>
      </c>
      <c r="X60" s="12">
        <v>2.0000000000000018E-2</v>
      </c>
      <c r="Z60" s="61"/>
    </row>
    <row r="61" spans="21:27" ht="15" thickBot="1" x14ac:dyDescent="0.35">
      <c r="U61" s="43" t="s">
        <v>23</v>
      </c>
      <c r="V61" s="41" t="s">
        <v>0</v>
      </c>
      <c r="W61" s="62">
        <v>2.0658595105349522</v>
      </c>
      <c r="X61" s="9">
        <v>-6.4000000000000057E-2</v>
      </c>
      <c r="Z61" s="61"/>
    </row>
    <row r="62" spans="21:27" ht="15" thickBot="1" x14ac:dyDescent="0.35">
      <c r="U62" s="43" t="s">
        <v>24</v>
      </c>
      <c r="V62" s="41" t="s">
        <v>0</v>
      </c>
      <c r="W62" s="62">
        <v>2.01191496332298</v>
      </c>
      <c r="X62" s="9">
        <v>-8.0000000000000071E-2</v>
      </c>
      <c r="Z62" s="61"/>
    </row>
    <row r="63" spans="21:27" ht="15" thickBot="1" x14ac:dyDescent="0.35">
      <c r="U63" s="43" t="s">
        <v>25</v>
      </c>
      <c r="V63" s="41" t="s">
        <v>0</v>
      </c>
      <c r="W63" s="62">
        <v>1.985108848739811</v>
      </c>
      <c r="X63" s="9">
        <v>4.8999999999999932E-2</v>
      </c>
      <c r="Z63" s="61"/>
    </row>
    <row r="64" spans="21:27" ht="15" thickBot="1" x14ac:dyDescent="0.35">
      <c r="U64" s="43" t="s">
        <v>26</v>
      </c>
      <c r="V64" s="41" t="s">
        <v>0</v>
      </c>
      <c r="W64" s="62">
        <v>1.9443592233135232</v>
      </c>
      <c r="X64" s="9">
        <v>2.4000000000000021E-2</v>
      </c>
      <c r="Z64" s="61"/>
    </row>
    <row r="65" spans="21:26" ht="15" thickBot="1" x14ac:dyDescent="0.35">
      <c r="U65" s="43" t="s">
        <v>27</v>
      </c>
      <c r="V65" s="41" t="s">
        <v>0</v>
      </c>
      <c r="W65" s="62">
        <v>1.8766922335578959</v>
      </c>
      <c r="X65" s="9">
        <v>5.2999999999999936E-2</v>
      </c>
      <c r="Z65" s="61"/>
    </row>
    <row r="66" spans="21:26" ht="15" thickBot="1" x14ac:dyDescent="0.35">
      <c r="U66" s="43" t="s">
        <v>28</v>
      </c>
      <c r="V66" s="41" t="s">
        <v>0</v>
      </c>
      <c r="W66" s="62">
        <v>2.0597844932409526</v>
      </c>
      <c r="X66" s="9">
        <v>-4.6000000000000263E-2</v>
      </c>
      <c r="Z66" s="61"/>
    </row>
    <row r="67" spans="21:26" ht="15" thickBot="1" x14ac:dyDescent="0.35">
      <c r="U67" s="43" t="s">
        <v>29</v>
      </c>
      <c r="V67" s="41" t="s">
        <v>0</v>
      </c>
      <c r="W67" s="62">
        <v>1.952055398328818</v>
      </c>
      <c r="X67" s="9">
        <v>-9.1000000000000192E-2</v>
      </c>
      <c r="Z67" s="61"/>
    </row>
    <row r="68" spans="21:26" ht="15" thickBot="1" x14ac:dyDescent="0.35">
      <c r="U68" s="43" t="s">
        <v>30</v>
      </c>
      <c r="V68" s="41" t="s">
        <v>0</v>
      </c>
      <c r="W68" s="62">
        <v>2.1131717097945413</v>
      </c>
      <c r="X68" s="9">
        <v>-5.9000000000000163E-2</v>
      </c>
      <c r="Z68" s="61"/>
    </row>
    <row r="69" spans="21:26" ht="15" thickBot="1" x14ac:dyDescent="0.35">
      <c r="U69" s="43" t="s">
        <v>31</v>
      </c>
      <c r="V69" s="41" t="s">
        <v>0</v>
      </c>
      <c r="W69" s="62">
        <v>1.9236655903321582</v>
      </c>
      <c r="X69" s="9">
        <v>0.10400000000000009</v>
      </c>
      <c r="Z69" s="61"/>
    </row>
    <row r="70" spans="21:26" ht="15" thickBot="1" x14ac:dyDescent="0.35">
      <c r="U70" s="5" t="s">
        <v>32</v>
      </c>
      <c r="V70" s="44" t="s">
        <v>0</v>
      </c>
      <c r="W70" s="62">
        <v>1.9946205273521525</v>
      </c>
      <c r="X70" s="11">
        <v>5.500000000000016E-2</v>
      </c>
      <c r="Z70" s="61"/>
    </row>
  </sheetData>
  <mergeCells count="3">
    <mergeCell ref="B33:E33"/>
    <mergeCell ref="H33:K33"/>
    <mergeCell ref="A7:F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24112-B13B-4818-8619-1DF3923D8F1D}">
  <dimension ref="G4:Q23"/>
  <sheetViews>
    <sheetView tabSelected="1" workbookViewId="0">
      <selection activeCell="M10" sqref="M10"/>
    </sheetView>
  </sheetViews>
  <sheetFormatPr baseColWidth="10" defaultRowHeight="14.4" x14ac:dyDescent="0.3"/>
  <cols>
    <col min="7" max="7" width="8.6640625" customWidth="1"/>
    <col min="10" max="10" width="3.77734375" customWidth="1"/>
    <col min="13" max="13" width="8.6640625" customWidth="1"/>
  </cols>
  <sheetData>
    <row r="4" spans="7:13" x14ac:dyDescent="0.3">
      <c r="H4" s="89" t="s">
        <v>45</v>
      </c>
      <c r="I4" s="90"/>
      <c r="K4" s="89" t="s">
        <v>46</v>
      </c>
      <c r="L4" s="90"/>
    </row>
    <row r="5" spans="7:13" ht="4.8" customHeight="1" x14ac:dyDescent="0.3"/>
    <row r="6" spans="7:13" x14ac:dyDescent="0.3">
      <c r="H6" s="88" t="s">
        <v>44</v>
      </c>
      <c r="I6" s="88" t="s">
        <v>5</v>
      </c>
      <c r="K6" s="88" t="s">
        <v>44</v>
      </c>
      <c r="L6" s="88" t="s">
        <v>5</v>
      </c>
    </row>
    <row r="7" spans="7:13" x14ac:dyDescent="0.3">
      <c r="G7" s="88" t="s">
        <v>3</v>
      </c>
      <c r="H7" s="64">
        <v>-8.2000000000000003E-2</v>
      </c>
      <c r="I7" s="64">
        <v>6.6000000000000003E-2</v>
      </c>
      <c r="K7" s="64">
        <v>-5.5E-2</v>
      </c>
      <c r="L7" s="64">
        <v>6.8000000000000005E-2</v>
      </c>
      <c r="M7" s="88" t="s">
        <v>3</v>
      </c>
    </row>
    <row r="8" spans="7:13" x14ac:dyDescent="0.3">
      <c r="G8" s="88" t="s">
        <v>0</v>
      </c>
      <c r="H8" s="64">
        <v>-3.0000000000000001E-3</v>
      </c>
      <c r="I8" s="64">
        <v>6.7000000000000004E-2</v>
      </c>
      <c r="K8" s="64">
        <v>-2.4E-2</v>
      </c>
      <c r="L8" s="64">
        <v>0.03</v>
      </c>
      <c r="M8" s="88" t="s">
        <v>0</v>
      </c>
    </row>
    <row r="23" spans="16:17" x14ac:dyDescent="0.3">
      <c r="P23" s="36"/>
      <c r="Q23" s="36"/>
    </row>
  </sheetData>
  <mergeCells count="2">
    <mergeCell ref="H4:I4"/>
    <mergeCell ref="K4:L4"/>
  </mergeCells>
  <pageMargins left="0.7" right="0.7" top="0.75" bottom="0.75" header="0.3" footer="0.3"/>
  <pageSetup paperSize="9"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AFABF-5B8F-4B92-9FC5-DA883E6C8D61}">
  <sheetPr>
    <tabColor theme="6" tint="0.79998168889431442"/>
  </sheetPr>
  <dimension ref="A6:AA63"/>
  <sheetViews>
    <sheetView topLeftCell="A19" zoomScale="75" zoomScaleNormal="75" zoomScaleSheetLayoutView="76" workbookViewId="0">
      <selection activeCell="M40" sqref="M40:Q46"/>
    </sheetView>
  </sheetViews>
  <sheetFormatPr baseColWidth="10" defaultRowHeight="14.4" x14ac:dyDescent="0.3"/>
  <cols>
    <col min="1" max="1" width="9.5546875" customWidth="1"/>
    <col min="2" max="4" width="7.88671875" customWidth="1"/>
    <col min="5" max="5" width="9.5546875" customWidth="1"/>
    <col min="6" max="6" width="7.88671875" customWidth="1"/>
    <col min="7" max="7" width="9.5546875" customWidth="1"/>
    <col min="8" max="11" width="7.88671875" customWidth="1"/>
  </cols>
  <sheetData>
    <row r="6" spans="1:6" ht="15" thickBot="1" x14ac:dyDescent="0.35"/>
    <row r="7" spans="1:6" ht="18.600000000000001" thickBot="1" x14ac:dyDescent="0.4">
      <c r="A7" s="85" t="s">
        <v>7</v>
      </c>
      <c r="B7" s="86"/>
      <c r="C7" s="86"/>
      <c r="D7" s="86"/>
      <c r="E7" s="86"/>
      <c r="F7" s="87"/>
    </row>
    <row r="8" spans="1:6" ht="6" customHeight="1" thickBot="1" x14ac:dyDescent="0.35"/>
    <row r="9" spans="1:6" ht="15" thickBot="1" x14ac:dyDescent="0.35">
      <c r="A9" s="37" t="s">
        <v>9</v>
      </c>
      <c r="B9" s="38" t="s">
        <v>21</v>
      </c>
      <c r="C9" s="38" t="s">
        <v>33</v>
      </c>
      <c r="D9" s="38" t="s">
        <v>34</v>
      </c>
      <c r="E9" s="38" t="s">
        <v>35</v>
      </c>
      <c r="F9" s="39" t="s">
        <v>36</v>
      </c>
    </row>
    <row r="10" spans="1:6" x14ac:dyDescent="0.3">
      <c r="A10" s="25" t="s">
        <v>10</v>
      </c>
      <c r="B10" s="42" t="s">
        <v>3</v>
      </c>
      <c r="C10" s="7">
        <v>2.649</v>
      </c>
      <c r="D10" s="20">
        <v>2.601</v>
      </c>
      <c r="E10" s="20">
        <f>D10-C10</f>
        <v>-4.8000000000000043E-2</v>
      </c>
      <c r="F10" s="46">
        <f>(D10-C10)*100</f>
        <v>-4.8000000000000043</v>
      </c>
    </row>
    <row r="11" spans="1:6" x14ac:dyDescent="0.3">
      <c r="A11" s="43" t="s">
        <v>11</v>
      </c>
      <c r="B11" s="40" t="s">
        <v>3</v>
      </c>
      <c r="C11" s="1">
        <v>2.738</v>
      </c>
      <c r="D11" s="15">
        <v>2.714</v>
      </c>
      <c r="E11" s="15">
        <f t="shared" ref="E11:E20" si="0">D11-C11</f>
        <v>-2.4000000000000021E-2</v>
      </c>
      <c r="F11" s="47">
        <f t="shared" ref="F11:F31" si="1">(D11-C11)*100</f>
        <v>-2.4000000000000021</v>
      </c>
    </row>
    <row r="12" spans="1:6" x14ac:dyDescent="0.3">
      <c r="A12" s="43" t="s">
        <v>12</v>
      </c>
      <c r="B12" s="40" t="s">
        <v>3</v>
      </c>
      <c r="C12" s="1">
        <v>2.7949999999999999</v>
      </c>
      <c r="D12" s="15">
        <v>2.7389999999999999</v>
      </c>
      <c r="E12" s="15">
        <f t="shared" si="0"/>
        <v>-5.600000000000005E-2</v>
      </c>
      <c r="F12" s="47">
        <f t="shared" si="1"/>
        <v>-5.600000000000005</v>
      </c>
    </row>
    <row r="13" spans="1:6" x14ac:dyDescent="0.3">
      <c r="A13" s="43" t="s">
        <v>13</v>
      </c>
      <c r="B13" s="40" t="s">
        <v>3</v>
      </c>
      <c r="C13" s="1">
        <v>2.601</v>
      </c>
      <c r="D13" s="15">
        <v>2.573</v>
      </c>
      <c r="E13" s="15">
        <f t="shared" si="0"/>
        <v>-2.8000000000000025E-2</v>
      </c>
      <c r="F13" s="47">
        <f t="shared" si="1"/>
        <v>-2.8000000000000025</v>
      </c>
    </row>
    <row r="14" spans="1:6" x14ac:dyDescent="0.3">
      <c r="A14" s="43" t="s">
        <v>14</v>
      </c>
      <c r="B14" s="40" t="s">
        <v>3</v>
      </c>
      <c r="C14" s="1">
        <v>2.9289999999999998</v>
      </c>
      <c r="D14" s="15">
        <v>2.867</v>
      </c>
      <c r="E14" s="15">
        <f t="shared" si="0"/>
        <v>-6.1999999999999833E-2</v>
      </c>
      <c r="F14" s="47">
        <f t="shared" si="1"/>
        <v>-6.1999999999999833</v>
      </c>
    </row>
    <row r="15" spans="1:6" x14ac:dyDescent="0.3">
      <c r="A15" s="43" t="s">
        <v>15</v>
      </c>
      <c r="B15" s="40" t="s">
        <v>3</v>
      </c>
      <c r="C15" s="1">
        <v>2.6269999999999998</v>
      </c>
      <c r="D15" s="15">
        <v>2.6560000000000001</v>
      </c>
      <c r="E15" s="15">
        <f t="shared" si="0"/>
        <v>2.9000000000000359E-2</v>
      </c>
      <c r="F15" s="47">
        <f t="shared" si="1"/>
        <v>2.9000000000000359</v>
      </c>
    </row>
    <row r="16" spans="1:6" x14ac:dyDescent="0.3">
      <c r="A16" s="43" t="s">
        <v>16</v>
      </c>
      <c r="B16" s="40" t="s">
        <v>3</v>
      </c>
      <c r="C16" s="1">
        <v>2.5779999999999998</v>
      </c>
      <c r="D16" s="15">
        <v>2.573</v>
      </c>
      <c r="E16" s="15">
        <f t="shared" si="0"/>
        <v>-4.9999999999998934E-3</v>
      </c>
      <c r="F16" s="47">
        <f t="shared" si="1"/>
        <v>-0.49999999999998934</v>
      </c>
    </row>
    <row r="17" spans="1:6" x14ac:dyDescent="0.3">
      <c r="A17" s="43" t="s">
        <v>17</v>
      </c>
      <c r="B17" s="40" t="s">
        <v>3</v>
      </c>
      <c r="C17" s="1">
        <v>2.722</v>
      </c>
      <c r="D17" s="15">
        <v>2.6840000000000002</v>
      </c>
      <c r="E17" s="15">
        <f t="shared" si="0"/>
        <v>-3.7999999999999812E-2</v>
      </c>
      <c r="F17" s="47">
        <f t="shared" si="1"/>
        <v>-3.7999999999999812</v>
      </c>
    </row>
    <row r="18" spans="1:6" x14ac:dyDescent="0.3">
      <c r="A18" s="43" t="s">
        <v>18</v>
      </c>
      <c r="B18" s="40" t="s">
        <v>3</v>
      </c>
      <c r="C18" s="1">
        <v>2.8039999999999998</v>
      </c>
      <c r="D18" s="15">
        <v>2.5979999999999999</v>
      </c>
      <c r="E18" s="15">
        <f t="shared" si="0"/>
        <v>-0.20599999999999996</v>
      </c>
      <c r="F18" s="47">
        <f t="shared" si="1"/>
        <v>-20.599999999999994</v>
      </c>
    </row>
    <row r="19" spans="1:6" x14ac:dyDescent="0.3">
      <c r="A19" s="43" t="s">
        <v>19</v>
      </c>
      <c r="B19" s="40" t="s">
        <v>3</v>
      </c>
      <c r="C19" s="1">
        <v>2.9350000000000001</v>
      </c>
      <c r="D19" s="15">
        <v>2.78</v>
      </c>
      <c r="E19" s="15">
        <f t="shared" si="0"/>
        <v>-0.15500000000000025</v>
      </c>
      <c r="F19" s="47">
        <f t="shared" si="1"/>
        <v>-15.500000000000025</v>
      </c>
    </row>
    <row r="20" spans="1:6" ht="15" thickBot="1" x14ac:dyDescent="0.35">
      <c r="A20" s="5" t="s">
        <v>20</v>
      </c>
      <c r="B20" s="45" t="s">
        <v>3</v>
      </c>
      <c r="C20" s="4">
        <v>2.5310000000000001</v>
      </c>
      <c r="D20" s="16">
        <v>2.5219999999999998</v>
      </c>
      <c r="E20" s="16">
        <f t="shared" si="0"/>
        <v>-9.0000000000003411E-3</v>
      </c>
      <c r="F20" s="48">
        <f t="shared" si="1"/>
        <v>-0.90000000000003411</v>
      </c>
    </row>
    <row r="21" spans="1:6" x14ac:dyDescent="0.3">
      <c r="A21" s="25" t="s">
        <v>22</v>
      </c>
      <c r="B21" s="49" t="s">
        <v>0</v>
      </c>
      <c r="C21" s="7">
        <v>2.629</v>
      </c>
      <c r="D21" s="12">
        <v>2.5950000000000002</v>
      </c>
      <c r="E21" s="12">
        <f>D21-C21</f>
        <v>-3.3999999999999808E-2</v>
      </c>
      <c r="F21" s="52">
        <f>(D21-C21)*100</f>
        <v>-3.3999999999999808</v>
      </c>
    </row>
    <row r="22" spans="1:6" x14ac:dyDescent="0.3">
      <c r="A22" s="43" t="s">
        <v>23</v>
      </c>
      <c r="B22" s="41" t="s">
        <v>0</v>
      </c>
      <c r="C22" s="1">
        <v>2.702</v>
      </c>
      <c r="D22" s="9">
        <v>2.6640000000000001</v>
      </c>
      <c r="E22" s="9">
        <f t="shared" ref="E22:E31" si="2">D22-C22</f>
        <v>-3.7999999999999812E-2</v>
      </c>
      <c r="F22" s="53">
        <f t="shared" si="1"/>
        <v>-3.7999999999999812</v>
      </c>
    </row>
    <row r="23" spans="1:6" x14ac:dyDescent="0.3">
      <c r="A23" s="43" t="s">
        <v>24</v>
      </c>
      <c r="B23" s="41" t="s">
        <v>0</v>
      </c>
      <c r="C23" s="1">
        <v>2.7989999999999999</v>
      </c>
      <c r="D23" s="9">
        <v>2.7280000000000002</v>
      </c>
      <c r="E23" s="9">
        <f t="shared" si="2"/>
        <v>-7.099999999999973E-2</v>
      </c>
      <c r="F23" s="53">
        <f t="shared" si="1"/>
        <v>-7.099999999999973</v>
      </c>
    </row>
    <row r="24" spans="1:6" x14ac:dyDescent="0.3">
      <c r="A24" s="43" t="s">
        <v>25</v>
      </c>
      <c r="B24" s="41" t="s">
        <v>0</v>
      </c>
      <c r="C24" s="1">
        <v>2.6040000000000001</v>
      </c>
      <c r="D24" s="9">
        <v>2.5939999999999999</v>
      </c>
      <c r="E24" s="9">
        <f t="shared" si="2"/>
        <v>-1.0000000000000231E-2</v>
      </c>
      <c r="F24" s="53">
        <f t="shared" si="1"/>
        <v>-1.0000000000000231</v>
      </c>
    </row>
    <row r="25" spans="1:6" x14ac:dyDescent="0.3">
      <c r="A25" s="43" t="s">
        <v>26</v>
      </c>
      <c r="B25" s="41" t="s">
        <v>0</v>
      </c>
      <c r="C25" s="1">
        <v>2.6429999999999998</v>
      </c>
      <c r="D25" s="9">
        <v>2.6379999999999999</v>
      </c>
      <c r="E25" s="9">
        <f t="shared" si="2"/>
        <v>-4.9999999999998934E-3</v>
      </c>
      <c r="F25" s="53">
        <f t="shared" si="1"/>
        <v>-0.49999999999998934</v>
      </c>
    </row>
    <row r="26" spans="1:6" x14ac:dyDescent="0.3">
      <c r="A26" s="43" t="s">
        <v>27</v>
      </c>
      <c r="B26" s="41" t="s">
        <v>0</v>
      </c>
      <c r="C26" s="1">
        <v>2.718</v>
      </c>
      <c r="D26" s="9">
        <v>2.6589999999999998</v>
      </c>
      <c r="E26" s="9">
        <f t="shared" si="2"/>
        <v>-5.9000000000000163E-2</v>
      </c>
      <c r="F26" s="53">
        <f t="shared" si="1"/>
        <v>-5.9000000000000163</v>
      </c>
    </row>
    <row r="27" spans="1:6" x14ac:dyDescent="0.3">
      <c r="A27" s="43" t="s">
        <v>28</v>
      </c>
      <c r="B27" s="41" t="s">
        <v>0</v>
      </c>
      <c r="C27" s="1">
        <v>2.7320000000000002</v>
      </c>
      <c r="D27" s="9">
        <v>2.702</v>
      </c>
      <c r="E27" s="9">
        <f t="shared" si="2"/>
        <v>-3.0000000000000249E-2</v>
      </c>
      <c r="F27" s="53">
        <f t="shared" si="1"/>
        <v>-3.0000000000000249</v>
      </c>
    </row>
    <row r="28" spans="1:6" x14ac:dyDescent="0.3">
      <c r="A28" s="43" t="s">
        <v>29</v>
      </c>
      <c r="B28" s="41" t="s">
        <v>0</v>
      </c>
      <c r="C28" s="1">
        <v>2.78</v>
      </c>
      <c r="D28" s="9">
        <v>2.8119999999999998</v>
      </c>
      <c r="E28" s="9">
        <f t="shared" si="2"/>
        <v>3.2000000000000028E-2</v>
      </c>
      <c r="F28" s="53">
        <f t="shared" si="1"/>
        <v>3.2000000000000028</v>
      </c>
    </row>
    <row r="29" spans="1:6" x14ac:dyDescent="0.3">
      <c r="A29" s="43" t="s">
        <v>30</v>
      </c>
      <c r="B29" s="41" t="s">
        <v>0</v>
      </c>
      <c r="C29" s="1">
        <v>2.883</v>
      </c>
      <c r="D29" s="9">
        <v>2.8410000000000002</v>
      </c>
      <c r="E29" s="9">
        <f t="shared" si="2"/>
        <v>-4.1999999999999815E-2</v>
      </c>
      <c r="F29" s="53">
        <f t="shared" si="1"/>
        <v>-4.1999999999999815</v>
      </c>
    </row>
    <row r="30" spans="1:6" x14ac:dyDescent="0.3">
      <c r="A30" s="43" t="s">
        <v>31</v>
      </c>
      <c r="B30" s="41" t="s">
        <v>0</v>
      </c>
      <c r="C30" s="1">
        <v>2.694</v>
      </c>
      <c r="D30" s="9">
        <v>2.6709999999999998</v>
      </c>
      <c r="E30" s="9">
        <f t="shared" si="2"/>
        <v>-2.3000000000000131E-2</v>
      </c>
      <c r="F30" s="53">
        <f t="shared" si="1"/>
        <v>-2.3000000000000131</v>
      </c>
    </row>
    <row r="31" spans="1:6" ht="15" thickBot="1" x14ac:dyDescent="0.35">
      <c r="A31" s="5" t="s">
        <v>32</v>
      </c>
      <c r="B31" s="44" t="s">
        <v>0</v>
      </c>
      <c r="C31" s="4">
        <v>2.488</v>
      </c>
      <c r="D31" s="11">
        <v>2.5009999999999999</v>
      </c>
      <c r="E31" s="11">
        <f t="shared" si="2"/>
        <v>1.2999999999999901E-2</v>
      </c>
      <c r="F31" s="54">
        <f t="shared" si="1"/>
        <v>1.2999999999999901</v>
      </c>
    </row>
    <row r="32" spans="1:6" ht="15" thickBot="1" x14ac:dyDescent="0.35"/>
    <row r="33" spans="1:27" x14ac:dyDescent="0.3">
      <c r="B33" s="78" t="s">
        <v>3</v>
      </c>
      <c r="C33" s="67"/>
      <c r="D33" s="67"/>
      <c r="E33" s="79"/>
      <c r="H33" s="80" t="s">
        <v>0</v>
      </c>
      <c r="I33" s="70"/>
      <c r="J33" s="70"/>
      <c r="K33" s="81"/>
    </row>
    <row r="34" spans="1:27" ht="15" thickBot="1" x14ac:dyDescent="0.35">
      <c r="B34" s="5" t="s">
        <v>1</v>
      </c>
      <c r="C34" s="13" t="s">
        <v>2</v>
      </c>
      <c r="D34" s="6" t="s">
        <v>8</v>
      </c>
      <c r="E34" s="6" t="s">
        <v>36</v>
      </c>
      <c r="H34" s="17" t="s">
        <v>1</v>
      </c>
      <c r="I34" s="18" t="s">
        <v>2</v>
      </c>
      <c r="J34" s="19" t="s">
        <v>8</v>
      </c>
      <c r="K34" s="19" t="s">
        <v>36</v>
      </c>
    </row>
    <row r="35" spans="1:27" x14ac:dyDescent="0.3">
      <c r="A35" s="26" t="s">
        <v>4</v>
      </c>
      <c r="B35" s="27">
        <f>'Présentation générale'!I22</f>
        <v>2.7189999999999999</v>
      </c>
      <c r="C35" s="28">
        <f>'Présentation générale'!J22</f>
        <v>2.6642727272727273</v>
      </c>
      <c r="D35" s="29">
        <f>'Présentation générale'!K22</f>
        <v>-5.4727272727272715E-2</v>
      </c>
      <c r="E35" s="29">
        <f>AVERAGE(F10:F20)</f>
        <v>-5.4727272727272718</v>
      </c>
      <c r="G35" s="50" t="s">
        <v>4</v>
      </c>
      <c r="H35" s="30">
        <f>'Présentation générale'!L22</f>
        <v>2.6974545454545451</v>
      </c>
      <c r="I35" s="28">
        <f>'Présentation générale'!M22</f>
        <v>2.6731818181818183</v>
      </c>
      <c r="J35" s="29">
        <f>'Présentation générale'!N22</f>
        <v>-2.4272727272727265E-2</v>
      </c>
      <c r="K35" s="29">
        <f>AVERAGE(F21:F31)</f>
        <v>-2.4272727272727264</v>
      </c>
    </row>
    <row r="36" spans="1:27" ht="15" thickBot="1" x14ac:dyDescent="0.35">
      <c r="A36" s="31" t="s">
        <v>5</v>
      </c>
      <c r="B36" s="32">
        <f>'Présentation générale'!I23</f>
        <v>0.13661625086350448</v>
      </c>
      <c r="C36" s="33">
        <f>'Présentation générale'!J23</f>
        <v>0.10406929509619148</v>
      </c>
      <c r="D36" s="34">
        <f>'Présentation générale'!K23</f>
        <v>6.8227693657474525E-2</v>
      </c>
      <c r="E36" s="34">
        <f>_xlfn.STDEV.S(F10:F20)</f>
        <v>6.822769365747452</v>
      </c>
      <c r="G36" s="51" t="s">
        <v>5</v>
      </c>
      <c r="H36" s="35">
        <f>'Présentation générale'!L23</f>
        <v>0.10651606793002041</v>
      </c>
      <c r="I36" s="33">
        <f>'Présentation générale'!M23</f>
        <v>9.7378455709482503E-2</v>
      </c>
      <c r="J36" s="34">
        <f>'Présentation générale'!N23</f>
        <v>3.0252573143753882E-2</v>
      </c>
      <c r="K36" s="34">
        <f>_xlfn.STDEV.S(F21:F31)</f>
        <v>3.0252573143753874</v>
      </c>
    </row>
    <row r="40" spans="1:27" ht="15" thickBot="1" x14ac:dyDescent="0.35"/>
    <row r="41" spans="1:27" ht="15" thickBot="1" x14ac:dyDescent="0.35">
      <c r="U41" s="37" t="s">
        <v>9</v>
      </c>
      <c r="V41" s="38" t="s">
        <v>21</v>
      </c>
      <c r="W41" s="38" t="s">
        <v>41</v>
      </c>
      <c r="X41" s="38" t="s">
        <v>35</v>
      </c>
      <c r="Z41" s="63" t="s">
        <v>41</v>
      </c>
      <c r="AA41" s="63" t="s">
        <v>4</v>
      </c>
    </row>
    <row r="42" spans="1:27" ht="15" thickBot="1" x14ac:dyDescent="0.35">
      <c r="O42" s="36" t="s">
        <v>39</v>
      </c>
      <c r="P42" s="36" t="s">
        <v>40</v>
      </c>
      <c r="U42" s="25" t="s">
        <v>10</v>
      </c>
      <c r="V42" s="42" t="s">
        <v>3</v>
      </c>
      <c r="W42" s="62">
        <v>1.0384538559609848</v>
      </c>
      <c r="X42" s="12">
        <v>-4.8000000000000043E-2</v>
      </c>
      <c r="Z42" s="64">
        <v>1</v>
      </c>
      <c r="AA42" s="64">
        <v>-5.5E-2</v>
      </c>
    </row>
    <row r="43" spans="1:27" ht="15" thickBot="1" x14ac:dyDescent="0.35">
      <c r="N43" t="s">
        <v>4</v>
      </c>
      <c r="O43">
        <v>-5.5E-2</v>
      </c>
      <c r="P43">
        <v>-2.4E-2</v>
      </c>
      <c r="U43" s="43" t="s">
        <v>11</v>
      </c>
      <c r="V43" s="40" t="s">
        <v>3</v>
      </c>
      <c r="W43" s="62">
        <v>1.1192712646443357</v>
      </c>
      <c r="X43" s="9">
        <v>-2.4000000000000021E-2</v>
      </c>
      <c r="Z43" s="64">
        <v>2</v>
      </c>
      <c r="AA43" s="64">
        <v>-2.4E-2</v>
      </c>
    </row>
    <row r="44" spans="1:27" ht="15" thickBot="1" x14ac:dyDescent="0.35">
      <c r="N44" t="s">
        <v>5</v>
      </c>
      <c r="O44">
        <v>6.8000000000000005E-2</v>
      </c>
      <c r="P44">
        <v>0.03</v>
      </c>
      <c r="U44" s="43" t="s">
        <v>12</v>
      </c>
      <c r="V44" s="40" t="s">
        <v>3</v>
      </c>
      <c r="W44" s="62">
        <v>1.1295058582389708</v>
      </c>
      <c r="X44" s="9">
        <v>-5.600000000000005E-2</v>
      </c>
    </row>
    <row r="45" spans="1:27" ht="15" thickBot="1" x14ac:dyDescent="0.35">
      <c r="U45" s="43" t="s">
        <v>13</v>
      </c>
      <c r="V45" s="40" t="s">
        <v>3</v>
      </c>
      <c r="W45" s="62">
        <v>0.87856110293150913</v>
      </c>
      <c r="X45" s="9">
        <v>-2.8000000000000025E-2</v>
      </c>
    </row>
    <row r="46" spans="1:27" ht="15" thickBot="1" x14ac:dyDescent="0.35">
      <c r="U46" s="43" t="s">
        <v>14</v>
      </c>
      <c r="V46" s="40" t="s">
        <v>3</v>
      </c>
      <c r="W46" s="62">
        <v>1.1325351180931371</v>
      </c>
      <c r="X46" s="9">
        <v>-6.1999999999999833E-2</v>
      </c>
    </row>
    <row r="47" spans="1:27" ht="15" thickBot="1" x14ac:dyDescent="0.35">
      <c r="U47" s="43" t="s">
        <v>15</v>
      </c>
      <c r="V47" s="40" t="s">
        <v>3</v>
      </c>
      <c r="W47" s="62">
        <v>1.125995273309897</v>
      </c>
      <c r="X47" s="9">
        <v>2.9000000000000359E-2</v>
      </c>
    </row>
    <row r="48" spans="1:27" ht="15" thickBot="1" x14ac:dyDescent="0.35">
      <c r="U48" s="43" t="s">
        <v>16</v>
      </c>
      <c r="V48" s="40" t="s">
        <v>3</v>
      </c>
      <c r="W48" s="62">
        <v>0.98217542665259372</v>
      </c>
      <c r="X48" s="9">
        <v>-4.9999999999998934E-3</v>
      </c>
    </row>
    <row r="49" spans="21:24" ht="15" thickBot="1" x14ac:dyDescent="0.35">
      <c r="U49" s="43" t="s">
        <v>17</v>
      </c>
      <c r="V49" s="40" t="s">
        <v>3</v>
      </c>
      <c r="W49" s="62">
        <v>0.99557873633203986</v>
      </c>
      <c r="X49" s="9">
        <v>-3.7999999999999812E-2</v>
      </c>
    </row>
    <row r="50" spans="21:24" ht="15" thickBot="1" x14ac:dyDescent="0.35">
      <c r="U50" s="43" t="s">
        <v>18</v>
      </c>
      <c r="V50" s="40" t="s">
        <v>3</v>
      </c>
      <c r="W50" s="62">
        <v>0.94603584317617706</v>
      </c>
      <c r="X50" s="9">
        <v>-0.20599999999999996</v>
      </c>
    </row>
    <row r="51" spans="21:24" ht="15" thickBot="1" x14ac:dyDescent="0.35">
      <c r="U51" s="43" t="s">
        <v>19</v>
      </c>
      <c r="V51" s="40" t="s">
        <v>3</v>
      </c>
      <c r="W51" s="62">
        <v>1.0398363755986286</v>
      </c>
      <c r="X51" s="9">
        <v>-0.15500000000000025</v>
      </c>
    </row>
    <row r="52" spans="21:24" ht="15" thickBot="1" x14ac:dyDescent="0.35">
      <c r="U52" s="5" t="s">
        <v>20</v>
      </c>
      <c r="V52" s="45" t="s">
        <v>3</v>
      </c>
      <c r="W52" s="62">
        <v>1.1453871509058535</v>
      </c>
      <c r="X52" s="11">
        <v>-9.0000000000003411E-3</v>
      </c>
    </row>
    <row r="53" spans="21:24" ht="15" thickBot="1" x14ac:dyDescent="0.35">
      <c r="U53" s="25" t="s">
        <v>22</v>
      </c>
      <c r="V53" s="49" t="s">
        <v>0</v>
      </c>
      <c r="W53" s="62">
        <v>1.9748291106283749</v>
      </c>
      <c r="X53" s="12">
        <v>-3.3999999999999808E-2</v>
      </c>
    </row>
    <row r="54" spans="21:24" ht="15" thickBot="1" x14ac:dyDescent="0.35">
      <c r="U54" s="43" t="s">
        <v>23</v>
      </c>
      <c r="V54" s="41" t="s">
        <v>0</v>
      </c>
      <c r="W54" s="62">
        <v>2.1066168447815339</v>
      </c>
      <c r="X54" s="9">
        <v>-3.7999999999999812E-2</v>
      </c>
    </row>
    <row r="55" spans="21:24" ht="15" thickBot="1" x14ac:dyDescent="0.35">
      <c r="U55" s="43" t="s">
        <v>24</v>
      </c>
      <c r="V55" s="41" t="s">
        <v>0</v>
      </c>
      <c r="W55" s="62">
        <v>1.9980057377441436</v>
      </c>
      <c r="X55" s="9">
        <v>-7.099999999999973E-2</v>
      </c>
    </row>
    <row r="56" spans="21:24" ht="15" thickBot="1" x14ac:dyDescent="0.35">
      <c r="U56" s="43" t="s">
        <v>25</v>
      </c>
      <c r="V56" s="41" t="s">
        <v>0</v>
      </c>
      <c r="W56" s="62">
        <v>2.0348310929694988</v>
      </c>
      <c r="X56" s="9">
        <v>-1.0000000000000231E-2</v>
      </c>
    </row>
    <row r="57" spans="21:24" ht="15" thickBot="1" x14ac:dyDescent="0.35">
      <c r="U57" s="43" t="s">
        <v>26</v>
      </c>
      <c r="V57" s="41" t="s">
        <v>0</v>
      </c>
      <c r="W57" s="62">
        <v>1.9400336959721103</v>
      </c>
      <c r="X57" s="9">
        <v>-4.9999999999998934E-3</v>
      </c>
    </row>
    <row r="58" spans="21:24" ht="15" thickBot="1" x14ac:dyDescent="0.35">
      <c r="U58" s="43" t="s">
        <v>27</v>
      </c>
      <c r="V58" s="41" t="s">
        <v>0</v>
      </c>
      <c r="W58" s="62">
        <v>2.1118816993556999</v>
      </c>
      <c r="X58" s="9">
        <v>-5.9000000000000163E-2</v>
      </c>
    </row>
    <row r="59" spans="21:24" ht="15" thickBot="1" x14ac:dyDescent="0.35">
      <c r="U59" s="43" t="s">
        <v>28</v>
      </c>
      <c r="V59" s="41" t="s">
        <v>0</v>
      </c>
      <c r="W59" s="62">
        <v>1.8544064406721339</v>
      </c>
      <c r="X59" s="9">
        <v>-3.0000000000000249E-2</v>
      </c>
    </row>
    <row r="60" spans="21:24" ht="15" thickBot="1" x14ac:dyDescent="0.35">
      <c r="U60" s="43" t="s">
        <v>29</v>
      </c>
      <c r="V60" s="41" t="s">
        <v>0</v>
      </c>
      <c r="W60" s="62">
        <v>2.0559606322989565</v>
      </c>
      <c r="X60" s="9">
        <v>3.2000000000000028E-2</v>
      </c>
    </row>
    <row r="61" spans="21:24" ht="15" thickBot="1" x14ac:dyDescent="0.35">
      <c r="U61" s="43" t="s">
        <v>30</v>
      </c>
      <c r="V61" s="41" t="s">
        <v>0</v>
      </c>
      <c r="W61" s="62">
        <v>1.9511293452516754</v>
      </c>
      <c r="X61" s="9">
        <v>-4.1999999999999815E-2</v>
      </c>
    </row>
    <row r="62" spans="21:24" ht="15" thickBot="1" x14ac:dyDescent="0.35">
      <c r="U62" s="43" t="s">
        <v>31</v>
      </c>
      <c r="V62" s="41" t="s">
        <v>0</v>
      </c>
      <c r="W62" s="62">
        <v>2.0853418974241835</v>
      </c>
      <c r="X62" s="9">
        <v>-2.3000000000000131E-2</v>
      </c>
    </row>
    <row r="63" spans="21:24" ht="15" thickBot="1" x14ac:dyDescent="0.35">
      <c r="U63" s="5" t="s">
        <v>32</v>
      </c>
      <c r="V63" s="44" t="s">
        <v>0</v>
      </c>
      <c r="W63" s="62">
        <v>2.1387832526996227</v>
      </c>
      <c r="X63" s="11">
        <v>1.2999999999999901E-2</v>
      </c>
    </row>
  </sheetData>
  <mergeCells count="3">
    <mergeCell ref="B33:E33"/>
    <mergeCell ref="H33:K33"/>
    <mergeCell ref="A7:F7"/>
  </mergeCells>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8FC07-C18E-475C-9AB0-A75AD8F2B2C6}">
  <dimension ref="A1"/>
  <sheetViews>
    <sheetView zoomScale="120" zoomScaleNormal="120" workbookViewId="0">
      <selection activeCell="F15" sqref="F15"/>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Présentation générale</vt:lpstr>
      <vt:lpstr>Right Curved Sprint</vt:lpstr>
      <vt:lpstr>Feuil1</vt:lpstr>
      <vt:lpstr>Left Curved Sprint</vt:lpstr>
      <vt:lpstr>Conclusion générale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Louboutin</dc:creator>
  <cp:lastModifiedBy>Clement Louboutin</cp:lastModifiedBy>
  <cp:lastPrinted>2026-03-05T13:15:53Z</cp:lastPrinted>
  <dcterms:created xsi:type="dcterms:W3CDTF">2026-01-24T16:29:46Z</dcterms:created>
  <dcterms:modified xsi:type="dcterms:W3CDTF">2026-03-05T13:16:24Z</dcterms:modified>
</cp:coreProperties>
</file>